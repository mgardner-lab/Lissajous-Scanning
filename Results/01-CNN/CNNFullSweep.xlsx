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ichael/Dropbox/Research/Scan Patterns/LissCNN/Working/Liss Paper/Yazan's Code/Results/01-CNN/"/>
    </mc:Choice>
  </mc:AlternateContent>
  <xr:revisionPtr revIDLastSave="0" documentId="13_ncr:1_{4A883C4A-C2A0-5B4E-BCB2-5700E7A7F49F}" xr6:coauthVersionLast="47" xr6:coauthVersionMax="47" xr10:uidLastSave="{00000000-0000-0000-0000-000000000000}"/>
  <bookViews>
    <workbookView xWindow="0" yWindow="1780" windowWidth="30240" windowHeight="16560" activeTab="1" xr2:uid="{0B12817A-8B87-4D04-BDCB-5B7590C645C3}"/>
  </bookViews>
  <sheets>
    <sheet name="Full Sweep" sheetId="1" r:id="rId1"/>
    <sheet name="Sheet1" sheetId="2" r:id="rId2"/>
    <sheet name="Sheet2" sheetId="3" r:id="rId3"/>
  </sheets>
  <definedNames>
    <definedName name="_xlnm._FilterDatabase" localSheetId="0" hidden="1">'Full Sweep'!$A$1:$A$115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7" i="2" l="1"/>
  <c r="F7" i="3" s="1"/>
  <c r="Z6" i="2"/>
  <c r="F6" i="3" s="1"/>
  <c r="Z5" i="2"/>
  <c r="F5" i="3" s="1"/>
  <c r="Z4" i="2"/>
  <c r="F4" i="3" s="1"/>
  <c r="Y7" i="2"/>
  <c r="E7" i="3" s="1"/>
  <c r="Y6" i="2"/>
  <c r="E6" i="3" s="1"/>
  <c r="Y5" i="2"/>
  <c r="E5" i="3" s="1"/>
  <c r="Y4" i="2"/>
  <c r="E4" i="3" s="1"/>
  <c r="Z3" i="2"/>
  <c r="F3" i="3" s="1"/>
  <c r="Y3" i="2"/>
  <c r="E3" i="3" s="1"/>
  <c r="AF7" i="2"/>
  <c r="L7" i="3" s="1"/>
  <c r="AF6" i="2"/>
  <c r="L6" i="3" s="1"/>
  <c r="AF5" i="2"/>
  <c r="L5" i="3" s="1"/>
  <c r="AF4" i="2"/>
  <c r="L4" i="3" s="1"/>
  <c r="AE7" i="2"/>
  <c r="K7" i="3" s="1"/>
  <c r="AE6" i="2"/>
  <c r="K6" i="3" s="1"/>
  <c r="AE5" i="2"/>
  <c r="K5" i="3" s="1"/>
  <c r="AE4" i="2"/>
  <c r="K4" i="3" s="1"/>
  <c r="AF3" i="2"/>
  <c r="L3" i="3" s="1"/>
  <c r="AE3" i="2"/>
  <c r="K3" i="3" s="1"/>
  <c r="Z21" i="2"/>
  <c r="F21" i="3" s="1"/>
  <c r="Z20" i="2"/>
  <c r="F20" i="3" s="1"/>
  <c r="Z19" i="2"/>
  <c r="F19" i="3" s="1"/>
  <c r="Z18" i="2"/>
  <c r="F18" i="3" s="1"/>
  <c r="Y21" i="2"/>
  <c r="E21" i="3" s="1"/>
  <c r="Y20" i="2"/>
  <c r="E20" i="3" s="1"/>
  <c r="Y19" i="2"/>
  <c r="E19" i="3" s="1"/>
  <c r="Y18" i="2"/>
  <c r="E18" i="3" s="1"/>
  <c r="X21" i="2"/>
  <c r="D21" i="3" s="1"/>
  <c r="X20" i="2"/>
  <c r="D20" i="3" s="1"/>
  <c r="X19" i="2"/>
  <c r="D19" i="3" s="1"/>
  <c r="X18" i="2"/>
  <c r="D18" i="3" s="1"/>
  <c r="Z14" i="2"/>
  <c r="F14" i="3" s="1"/>
  <c r="Z13" i="2"/>
  <c r="F13" i="3" s="1"/>
  <c r="Z12" i="2"/>
  <c r="F12" i="3" s="1"/>
  <c r="Z11" i="2"/>
  <c r="F11" i="3" s="1"/>
  <c r="Z10" i="2"/>
  <c r="F10" i="3" s="1"/>
  <c r="Y14" i="2"/>
  <c r="E14" i="3" s="1"/>
  <c r="Y13" i="2"/>
  <c r="E13" i="3" s="1"/>
  <c r="Y12" i="2"/>
  <c r="E12" i="3" s="1"/>
  <c r="Y11" i="2"/>
  <c r="E11" i="3" s="1"/>
  <c r="Y10" i="2"/>
  <c r="E10" i="3" s="1"/>
  <c r="X14" i="2"/>
  <c r="D14" i="3" s="1"/>
  <c r="X13" i="2"/>
  <c r="D13" i="3" s="1"/>
  <c r="X12" i="2"/>
  <c r="D12" i="3" s="1"/>
  <c r="X11" i="2"/>
  <c r="D11" i="3" s="1"/>
  <c r="Z17" i="2"/>
  <c r="F17" i="3" s="1"/>
  <c r="Y17" i="2"/>
  <c r="E17" i="3" s="1"/>
  <c r="X17" i="2"/>
  <c r="D17" i="3" s="1"/>
  <c r="X10" i="2"/>
  <c r="D10" i="3" s="1"/>
  <c r="AD7" i="2"/>
  <c r="J7" i="3" s="1"/>
  <c r="AD6" i="2"/>
  <c r="J6" i="3" s="1"/>
  <c r="AD5" i="2"/>
  <c r="J5" i="3" s="1"/>
  <c r="AD4" i="2"/>
  <c r="J4" i="3" s="1"/>
  <c r="AD3" i="2"/>
  <c r="J3" i="3" s="1"/>
  <c r="X7" i="2"/>
  <c r="D7" i="3" s="1"/>
  <c r="X6" i="2"/>
  <c r="D6" i="3" s="1"/>
  <c r="X5" i="2"/>
  <c r="D5" i="3" s="1"/>
  <c r="X4" i="2"/>
  <c r="D4" i="3" s="1"/>
  <c r="X3" i="2"/>
  <c r="D3" i="3" s="1"/>
  <c r="W21" i="2"/>
  <c r="C21" i="3" s="1"/>
  <c r="W20" i="2"/>
  <c r="C20" i="3" s="1"/>
  <c r="W19" i="2"/>
  <c r="C19" i="3" s="1"/>
  <c r="W18" i="2"/>
  <c r="C18" i="3" s="1"/>
  <c r="W17" i="2"/>
  <c r="C17" i="3" s="1"/>
  <c r="W14" i="2"/>
  <c r="C14" i="3" s="1"/>
  <c r="W13" i="2"/>
  <c r="C13" i="3" s="1"/>
  <c r="W12" i="2"/>
  <c r="C12" i="3" s="1"/>
  <c r="W11" i="2"/>
  <c r="C11" i="3" s="1"/>
  <c r="W10" i="2"/>
  <c r="C10" i="3" s="1"/>
  <c r="AC7" i="2"/>
  <c r="I7" i="3" s="1"/>
  <c r="AC6" i="2"/>
  <c r="I6" i="3" s="1"/>
  <c r="AC5" i="2"/>
  <c r="I5" i="3" s="1"/>
  <c r="AC4" i="2"/>
  <c r="I4" i="3" s="1"/>
  <c r="W7" i="2"/>
  <c r="C7" i="3" s="1"/>
  <c r="W6" i="2"/>
  <c r="C6" i="3" s="1"/>
  <c r="W5" i="2"/>
  <c r="C5" i="3" s="1"/>
  <c r="W4" i="2"/>
  <c r="C4" i="3" s="1"/>
  <c r="AC3" i="2"/>
  <c r="I3" i="3" s="1"/>
  <c r="W3" i="2"/>
  <c r="C3" i="3" s="1"/>
  <c r="C30" i="3" l="1"/>
  <c r="C26" i="3"/>
  <c r="C37" i="3"/>
  <c r="D30" i="3"/>
  <c r="E30" i="3"/>
  <c r="F30" i="3"/>
  <c r="D38" i="3"/>
  <c r="F36" i="3"/>
  <c r="F38" i="3"/>
  <c r="D36" i="3"/>
  <c r="C39" i="3"/>
  <c r="C24" i="3"/>
  <c r="D28" i="3"/>
  <c r="E39" i="3"/>
  <c r="D26" i="3"/>
  <c r="D37" i="3"/>
  <c r="D39" i="3"/>
  <c r="F32" i="3"/>
  <c r="D24" i="3"/>
  <c r="E26" i="3"/>
  <c r="E37" i="3"/>
  <c r="C35" i="3"/>
  <c r="F24" i="3"/>
  <c r="E24" i="3"/>
  <c r="F35" i="3"/>
  <c r="C28" i="3"/>
  <c r="C38" i="3"/>
  <c r="E35" i="3"/>
  <c r="F26" i="3"/>
  <c r="F37" i="3"/>
  <c r="D35" i="3"/>
  <c r="E32" i="3"/>
  <c r="E36" i="3"/>
  <c r="F28" i="3"/>
  <c r="D32" i="3"/>
  <c r="E28" i="3"/>
  <c r="E38" i="3"/>
  <c r="C36" i="3"/>
  <c r="F39" i="3"/>
  <c r="C32" i="3"/>
</calcChain>
</file>

<file path=xl/sharedStrings.xml><?xml version="1.0" encoding="utf-8"?>
<sst xmlns="http://schemas.openxmlformats.org/spreadsheetml/2006/main" count="106" uniqueCount="48">
  <si>
    <t>Inference 10k s std</t>
  </si>
  <si>
    <t>Speedup vs 2D (sequential)</t>
  </si>
  <si>
    <t>Speedup vs 2D (amortized)</t>
  </si>
  <si>
    <t>2D small_cnn 10k s (sequential)</t>
  </si>
  <si>
    <t>2D small_cnn 10k s (amortized)</t>
  </si>
  <si>
    <t>Params</t>
  </si>
  <si>
    <t>Train time s</t>
  </si>
  <si>
    <t>Inference 10k s</t>
  </si>
  <si>
    <t>F1 %</t>
  </si>
  <si>
    <t>Recall %</t>
  </si>
  <si>
    <t>Precision %</t>
  </si>
  <si>
    <t>Accuracy %</t>
  </si>
  <si>
    <t>lr</t>
  </si>
  <si>
    <t>num_filters</t>
  </si>
  <si>
    <t>filter_size</t>
  </si>
  <si>
    <t>fs</t>
  </si>
  <si>
    <t>fy</t>
  </si>
  <si>
    <t>fx</t>
  </si>
  <si>
    <t>N</t>
  </si>
  <si>
    <t>accuracy</t>
  </si>
  <si>
    <t>pree</t>
  </si>
  <si>
    <t>rec</t>
  </si>
  <si>
    <t>f1</t>
  </si>
  <si>
    <t>time</t>
  </si>
  <si>
    <t>min</t>
  </si>
  <si>
    <t>max</t>
  </si>
  <si>
    <t>std</t>
  </si>
  <si>
    <t>mean</t>
  </si>
  <si>
    <t>80.32 - 83.46</t>
  </si>
  <si>
    <t>88.78 - 93.8</t>
  </si>
  <si>
    <t>89.93 - 96.17</t>
  </si>
  <si>
    <t>92.43 - 98.6</t>
  </si>
  <si>
    <t>80.15 - 83.29</t>
  </si>
  <si>
    <t>88.67 - 93.79</t>
  </si>
  <si>
    <t>89.93 - 96.12</t>
  </si>
  <si>
    <t>92.35 - 98.58</t>
  </si>
  <si>
    <t>80.05 - 83.27</t>
  </si>
  <si>
    <t>88.61 - 93.73</t>
  </si>
  <si>
    <t>89.87 - 96.15</t>
  </si>
  <si>
    <t>92.34 - 98.59</t>
  </si>
  <si>
    <t>80.05 - 83.24</t>
  </si>
  <si>
    <t>88.62 - 93.75</t>
  </si>
  <si>
    <t>89.88 - 96.13</t>
  </si>
  <si>
    <t>92.33 - 98.59</t>
  </si>
  <si>
    <t>0.065 - 0.146</t>
  </si>
  <si>
    <t>0.067 - 0.181</t>
  </si>
  <si>
    <t>0.069 - 0.307</t>
  </si>
  <si>
    <t>0.071 - 0.696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</si>
</sst>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20"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CE4D6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6ABD9-ECFF-FE41-B187-FD4132F8EE35}" name="Table1" displayName="Table1" ref="A1:S113" totalsRowShown="0" dataDxfId="19">
  <autoFilter ref="A1:S113" xr:uid="{8C76ABD9-ECFF-FE41-B187-FD4132F8EE35}"/>
  <sortState xmlns:xlrd2="http://schemas.microsoft.com/office/spreadsheetml/2017/richdata2" ref="A2:S113">
    <sortCondition ref="A1:A113"/>
  </sortState>
  <tableColumns count="19">
    <tableColumn id="1" xr3:uid="{0C83E5FB-6F78-AD4D-9843-587FF7C7A8BB}" name="N" dataDxfId="18"/>
    <tableColumn id="2" xr3:uid="{8F0174A4-A9ED-AC49-B4E8-C7921D65C04A}" name="fx" dataDxfId="17"/>
    <tableColumn id="3" xr3:uid="{1A89CB9B-97C1-3A43-9A94-16819A4644E8}" name="fy" dataDxfId="16"/>
    <tableColumn id="4" xr3:uid="{44955799-92C7-C64B-87EE-7EA5BCAA98A2}" name="fs" dataDxfId="15"/>
    <tableColumn id="5" xr3:uid="{6146C100-FBB6-DD49-BFF8-084354F41FDF}" name="filter_size" dataDxfId="14"/>
    <tableColumn id="6" xr3:uid="{02E82F27-291A-924F-A675-628A4B9220F3}" name="num_filters" dataDxfId="13"/>
    <tableColumn id="7" xr3:uid="{C01DC44C-0749-D84F-861B-F8E62041CA67}" name="lr" dataDxfId="12"/>
    <tableColumn id="8" xr3:uid="{75071213-3F18-514B-A0A8-D9DC9A3C1706}" name="Accuracy %" dataDxfId="11"/>
    <tableColumn id="9" xr3:uid="{41E3F3DC-821F-6845-9960-39ED56FD2912}" name="Precision %" dataDxfId="10"/>
    <tableColumn id="10" xr3:uid="{CEEFA622-F1D5-BB43-B5E7-21C889FC4A8B}" name="Recall %" dataDxfId="9"/>
    <tableColumn id="11" xr3:uid="{0F9B0E9C-D67F-A84D-8F82-E30DDBBCB47E}" name="F1 %" dataDxfId="8"/>
    <tableColumn id="12" xr3:uid="{DDD0CD98-E0AC-7441-85AF-B1B61E7FD24C}" name="Inference 10k s" dataDxfId="7"/>
    <tableColumn id="13" xr3:uid="{496B29C0-BEC6-6945-A191-A29CF1B2F990}" name="Train time s" dataDxfId="6"/>
    <tableColumn id="14" xr3:uid="{F3DC9F0E-3881-1844-BFA1-EE47A5A9B064}" name="Params" dataDxfId="5"/>
    <tableColumn id="15" xr3:uid="{C7157726-3DED-8D48-BE76-E5559601EA87}" name="2D small_cnn 10k s (amortized)" dataDxfId="4"/>
    <tableColumn id="16" xr3:uid="{55B72BE5-EA59-9C40-B403-5A326FD83FCC}" name="2D small_cnn 10k s (sequential)" dataDxfId="3"/>
    <tableColumn id="17" xr3:uid="{1CC40BEA-7C24-A843-BD39-F86A0C3EF17D}" name="Speedup vs 2D (amortized)" dataDxfId="2"/>
    <tableColumn id="18" xr3:uid="{444A412F-3B72-8442-BF8E-37DD17BA7273}" name="Speedup vs 2D (sequential)" dataDxfId="1"/>
    <tableColumn id="19" xr3:uid="{F0F6F882-BAA9-A445-B743-82FE11F63BA9}" name="Inference 10k s st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C9E2-F320-4EAD-9127-8340E1A51558}">
  <dimension ref="A1:S113"/>
  <sheetViews>
    <sheetView workbookViewId="0">
      <pane xSplit="1" ySplit="1" topLeftCell="B2" activePane="bottomRight" state="frozen"/>
      <selection pane="topRight"/>
      <selection pane="bottomLeft"/>
      <selection pane="bottomRight" activeCell="H1" sqref="H1"/>
    </sheetView>
  </sheetViews>
  <sheetFormatPr baseColWidth="10" defaultColWidth="8.83203125" defaultRowHeight="15" x14ac:dyDescent="0.2"/>
  <cols>
    <col min="1" max="1" width="7" customWidth="1"/>
    <col min="2" max="3" width="6" customWidth="1"/>
    <col min="4" max="4" width="8" customWidth="1"/>
    <col min="5" max="6" width="13" customWidth="1"/>
    <col min="7" max="7" width="7" customWidth="1"/>
    <col min="8" max="8" width="12" customWidth="1"/>
    <col min="9" max="9" width="13" customWidth="1"/>
    <col min="10" max="10" width="10" customWidth="1"/>
    <col min="11" max="11" width="7" customWidth="1"/>
    <col min="12" max="12" width="23" customWidth="1"/>
    <col min="13" max="13" width="14" customWidth="1"/>
    <col min="14" max="14" width="10" customWidth="1"/>
    <col min="15" max="15" width="28" customWidth="1"/>
    <col min="16" max="16" width="26" customWidth="1"/>
    <col min="17" max="18" width="22" customWidth="1"/>
    <col min="19" max="19" width="23" customWidth="1"/>
  </cols>
  <sheetData>
    <row r="1" spans="1:19" ht="28.75" customHeight="1" x14ac:dyDescent="0.2">
      <c r="A1" s="5" t="s">
        <v>18</v>
      </c>
      <c r="B1" s="5" t="s">
        <v>17</v>
      </c>
      <c r="C1" s="5" t="s">
        <v>16</v>
      </c>
      <c r="D1" s="5" t="s">
        <v>15</v>
      </c>
      <c r="E1" s="5" t="s">
        <v>14</v>
      </c>
      <c r="F1" s="5" t="s">
        <v>13</v>
      </c>
      <c r="G1" s="5" t="s">
        <v>12</v>
      </c>
      <c r="H1" s="5" t="s">
        <v>11</v>
      </c>
      <c r="I1" s="5" t="s">
        <v>10</v>
      </c>
      <c r="J1" s="5" t="s">
        <v>9</v>
      </c>
      <c r="K1" s="5" t="s">
        <v>8</v>
      </c>
      <c r="L1" s="5" t="s">
        <v>7</v>
      </c>
      <c r="M1" s="5" t="s">
        <v>6</v>
      </c>
      <c r="N1" s="5" t="s">
        <v>5</v>
      </c>
      <c r="O1" s="5" t="s">
        <v>4</v>
      </c>
      <c r="P1" s="5" t="s">
        <v>3</v>
      </c>
      <c r="Q1" s="5" t="s">
        <v>2</v>
      </c>
      <c r="R1" s="5" t="s">
        <v>1</v>
      </c>
      <c r="S1" s="5" t="s">
        <v>0</v>
      </c>
    </row>
    <row r="2" spans="1:19" x14ac:dyDescent="0.2">
      <c r="A2" s="4">
        <v>50</v>
      </c>
      <c r="B2" s="4">
        <v>43</v>
      </c>
      <c r="C2" s="4">
        <v>37</v>
      </c>
      <c r="D2" s="4">
        <v>350</v>
      </c>
      <c r="E2" s="4">
        <v>91</v>
      </c>
      <c r="F2" s="4">
        <v>64</v>
      </c>
      <c r="G2" s="4">
        <v>1E-3</v>
      </c>
      <c r="H2" s="4">
        <v>83.17</v>
      </c>
      <c r="I2" s="4">
        <v>82.93</v>
      </c>
      <c r="J2" s="4">
        <v>82.98</v>
      </c>
      <c r="K2" s="4">
        <v>82.94</v>
      </c>
      <c r="L2" s="4">
        <v>0.14580000000000001</v>
      </c>
      <c r="M2" s="4">
        <v>163</v>
      </c>
      <c r="N2" s="4">
        <v>753162</v>
      </c>
      <c r="O2" s="4">
        <v>0.34989999999999999</v>
      </c>
      <c r="P2" s="4">
        <v>22.5443</v>
      </c>
      <c r="Q2" s="4">
        <v>2.4</v>
      </c>
      <c r="R2" s="4">
        <v>154.59</v>
      </c>
      <c r="S2" s="4">
        <v>2.0000000000000001E-4</v>
      </c>
    </row>
    <row r="3" spans="1:19" x14ac:dyDescent="0.2">
      <c r="A3" s="4">
        <v>50</v>
      </c>
      <c r="B3" s="4">
        <v>43</v>
      </c>
      <c r="C3" s="4">
        <v>37</v>
      </c>
      <c r="D3" s="4">
        <v>350</v>
      </c>
      <c r="E3" s="4">
        <v>91</v>
      </c>
      <c r="F3" s="4">
        <v>64</v>
      </c>
      <c r="G3" s="4">
        <v>0.01</v>
      </c>
      <c r="H3" s="4">
        <v>82.8</v>
      </c>
      <c r="I3" s="4">
        <v>82.62</v>
      </c>
      <c r="J3" s="4">
        <v>82.59</v>
      </c>
      <c r="K3" s="4">
        <v>82.58</v>
      </c>
      <c r="L3" s="4">
        <v>0.1457</v>
      </c>
      <c r="M3" s="4">
        <v>140</v>
      </c>
      <c r="N3" s="4">
        <v>753162</v>
      </c>
      <c r="O3" s="4">
        <v>0.34989999999999999</v>
      </c>
      <c r="P3" s="4">
        <v>22.5443</v>
      </c>
      <c r="Q3" s="4">
        <v>2.4</v>
      </c>
      <c r="R3" s="4">
        <v>154.72999999999999</v>
      </c>
      <c r="S3" s="4">
        <v>1.6000000000000001E-4</v>
      </c>
    </row>
    <row r="4" spans="1:19" x14ac:dyDescent="0.2">
      <c r="A4" s="4">
        <v>50</v>
      </c>
      <c r="B4" s="4">
        <v>43</v>
      </c>
      <c r="C4" s="4">
        <v>37</v>
      </c>
      <c r="D4" s="4">
        <v>350</v>
      </c>
      <c r="E4" s="4">
        <v>81</v>
      </c>
      <c r="F4" s="4">
        <v>64</v>
      </c>
      <c r="G4" s="4">
        <v>1E-3</v>
      </c>
      <c r="H4" s="4">
        <v>82.8</v>
      </c>
      <c r="I4" s="4">
        <v>82.59</v>
      </c>
      <c r="J4" s="4">
        <v>82.63</v>
      </c>
      <c r="K4" s="4">
        <v>82.59</v>
      </c>
      <c r="L4" s="4">
        <v>0.13200000000000001</v>
      </c>
      <c r="M4" s="4">
        <v>109</v>
      </c>
      <c r="N4" s="4">
        <v>670602</v>
      </c>
      <c r="O4" s="4">
        <v>0.34989999999999999</v>
      </c>
      <c r="P4" s="4">
        <v>22.5443</v>
      </c>
      <c r="Q4" s="4">
        <v>2.65</v>
      </c>
      <c r="R4" s="4">
        <v>170.82</v>
      </c>
      <c r="S4" s="4">
        <v>9.0000000000000006E-5</v>
      </c>
    </row>
    <row r="5" spans="1:19" x14ac:dyDescent="0.2">
      <c r="A5" s="4">
        <v>50</v>
      </c>
      <c r="B5" s="4">
        <v>43</v>
      </c>
      <c r="C5" s="4">
        <v>37</v>
      </c>
      <c r="D5" s="4">
        <v>350</v>
      </c>
      <c r="E5" s="4">
        <v>81</v>
      </c>
      <c r="F5" s="4">
        <v>64</v>
      </c>
      <c r="G5" s="4">
        <v>0.01</v>
      </c>
      <c r="H5" s="4">
        <v>82.43</v>
      </c>
      <c r="I5" s="4">
        <v>82.32</v>
      </c>
      <c r="J5" s="4">
        <v>82.19</v>
      </c>
      <c r="K5" s="4">
        <v>82.16</v>
      </c>
      <c r="L5" s="4">
        <v>0.13189999999999999</v>
      </c>
      <c r="M5" s="4">
        <v>112</v>
      </c>
      <c r="N5" s="4">
        <v>670602</v>
      </c>
      <c r="O5" s="4">
        <v>0.34989999999999999</v>
      </c>
      <c r="P5" s="4">
        <v>22.5443</v>
      </c>
      <c r="Q5" s="4">
        <v>2.65</v>
      </c>
      <c r="R5" s="4">
        <v>170.89</v>
      </c>
      <c r="S5" s="4">
        <v>1E-4</v>
      </c>
    </row>
    <row r="6" spans="1:19" x14ac:dyDescent="0.2">
      <c r="A6" s="4">
        <v>50</v>
      </c>
      <c r="B6" s="4">
        <v>43</v>
      </c>
      <c r="C6" s="4">
        <v>37</v>
      </c>
      <c r="D6" s="4">
        <v>350</v>
      </c>
      <c r="E6" s="4">
        <v>71</v>
      </c>
      <c r="F6" s="4">
        <v>64</v>
      </c>
      <c r="G6" s="4">
        <v>0.01</v>
      </c>
      <c r="H6" s="4">
        <v>83.07</v>
      </c>
      <c r="I6" s="4">
        <v>82.94</v>
      </c>
      <c r="J6" s="4">
        <v>82.81</v>
      </c>
      <c r="K6" s="4">
        <v>82.82</v>
      </c>
      <c r="L6" s="4">
        <v>0.1174</v>
      </c>
      <c r="M6" s="4">
        <v>105</v>
      </c>
      <c r="N6" s="4">
        <v>588042</v>
      </c>
      <c r="O6" s="4">
        <v>0.34989999999999999</v>
      </c>
      <c r="P6" s="4">
        <v>22.5443</v>
      </c>
      <c r="Q6" s="4">
        <v>2.98</v>
      </c>
      <c r="R6" s="4">
        <v>192.08</v>
      </c>
      <c r="S6" s="4">
        <v>3.1E-4</v>
      </c>
    </row>
    <row r="7" spans="1:19" x14ac:dyDescent="0.2">
      <c r="A7" s="4">
        <v>50</v>
      </c>
      <c r="B7" s="4">
        <v>43</v>
      </c>
      <c r="C7" s="4">
        <v>37</v>
      </c>
      <c r="D7" s="4">
        <v>350</v>
      </c>
      <c r="E7" s="4">
        <v>71</v>
      </c>
      <c r="F7" s="4">
        <v>64</v>
      </c>
      <c r="G7" s="4">
        <v>1E-3</v>
      </c>
      <c r="H7" s="4">
        <v>83.04</v>
      </c>
      <c r="I7" s="4">
        <v>82.87</v>
      </c>
      <c r="J7" s="4">
        <v>82.81</v>
      </c>
      <c r="K7" s="4">
        <v>82.81</v>
      </c>
      <c r="L7" s="4">
        <v>0.1172</v>
      </c>
      <c r="M7" s="4">
        <v>104</v>
      </c>
      <c r="N7" s="4">
        <v>588042</v>
      </c>
      <c r="O7" s="4">
        <v>0.34989999999999999</v>
      </c>
      <c r="P7" s="4">
        <v>22.5443</v>
      </c>
      <c r="Q7" s="4">
        <v>2.99</v>
      </c>
      <c r="R7" s="4">
        <v>192.44</v>
      </c>
      <c r="S7" s="4">
        <v>8.0000000000000007E-5</v>
      </c>
    </row>
    <row r="8" spans="1:19" x14ac:dyDescent="0.2">
      <c r="A8" s="4">
        <v>50</v>
      </c>
      <c r="B8" s="4">
        <v>43</v>
      </c>
      <c r="C8" s="4">
        <v>37</v>
      </c>
      <c r="D8" s="4">
        <v>350</v>
      </c>
      <c r="E8" s="4">
        <v>41</v>
      </c>
      <c r="F8" s="4">
        <v>64</v>
      </c>
      <c r="G8" s="4">
        <v>0.01</v>
      </c>
      <c r="H8" s="4">
        <v>83.17</v>
      </c>
      <c r="I8" s="4">
        <v>83.22</v>
      </c>
      <c r="J8" s="4">
        <v>82.96</v>
      </c>
      <c r="K8" s="4">
        <v>83.02</v>
      </c>
      <c r="L8" s="4">
        <v>7.6700000000000004E-2</v>
      </c>
      <c r="M8" s="4">
        <v>107</v>
      </c>
      <c r="N8" s="4">
        <v>340362</v>
      </c>
      <c r="O8" s="4">
        <v>0.34989999999999999</v>
      </c>
      <c r="P8" s="4">
        <v>22.5443</v>
      </c>
      <c r="Q8" s="4">
        <v>4.5599999999999996</v>
      </c>
      <c r="R8" s="4">
        <v>293.89</v>
      </c>
      <c r="S8" s="4">
        <v>6.3E-3</v>
      </c>
    </row>
    <row r="9" spans="1:19" x14ac:dyDescent="0.2">
      <c r="A9" s="4">
        <v>50</v>
      </c>
      <c r="B9" s="4">
        <v>43</v>
      </c>
      <c r="C9" s="4">
        <v>37</v>
      </c>
      <c r="D9" s="4">
        <v>350</v>
      </c>
      <c r="E9" s="4">
        <v>41</v>
      </c>
      <c r="F9" s="4">
        <v>64</v>
      </c>
      <c r="G9" s="4">
        <v>1E-3</v>
      </c>
      <c r="H9" s="4">
        <v>82.7</v>
      </c>
      <c r="I9" s="4">
        <v>82.49</v>
      </c>
      <c r="J9" s="4">
        <v>82.48</v>
      </c>
      <c r="K9" s="4">
        <v>82.48</v>
      </c>
      <c r="L9" s="4">
        <v>7.9399999999999998E-2</v>
      </c>
      <c r="M9" s="4">
        <v>106</v>
      </c>
      <c r="N9" s="4">
        <v>340362</v>
      </c>
      <c r="O9" s="4">
        <v>0.34989999999999999</v>
      </c>
      <c r="P9" s="4">
        <v>22.5443</v>
      </c>
      <c r="Q9" s="4">
        <v>4.4000000000000004</v>
      </c>
      <c r="R9" s="4">
        <v>283.83</v>
      </c>
      <c r="S9" s="4">
        <v>7.7200000000000003E-3</v>
      </c>
    </row>
    <row r="10" spans="1:19" x14ac:dyDescent="0.2">
      <c r="A10" s="4">
        <v>50</v>
      </c>
      <c r="B10" s="4">
        <v>43</v>
      </c>
      <c r="C10" s="4">
        <v>37</v>
      </c>
      <c r="D10" s="4">
        <v>350</v>
      </c>
      <c r="E10" s="4">
        <v>31</v>
      </c>
      <c r="F10" s="4">
        <v>64</v>
      </c>
      <c r="G10" s="4">
        <v>1E-3</v>
      </c>
      <c r="H10" s="4">
        <v>83.46</v>
      </c>
      <c r="I10" s="4">
        <v>83.27</v>
      </c>
      <c r="J10" s="4">
        <v>83.27</v>
      </c>
      <c r="K10" s="4">
        <v>83.24</v>
      </c>
      <c r="L10" s="4">
        <v>8.1500000000000003E-2</v>
      </c>
      <c r="M10" s="4">
        <v>147</v>
      </c>
      <c r="N10" s="4">
        <v>257802</v>
      </c>
      <c r="O10" s="4">
        <v>0.34989999999999999</v>
      </c>
      <c r="P10" s="4">
        <v>22.5443</v>
      </c>
      <c r="Q10" s="4">
        <v>4.29</v>
      </c>
      <c r="R10" s="4">
        <v>276.45</v>
      </c>
      <c r="S10" s="4">
        <v>6.4000000000000003E-3</v>
      </c>
    </row>
    <row r="11" spans="1:19" x14ac:dyDescent="0.2">
      <c r="A11" s="4">
        <v>50</v>
      </c>
      <c r="B11" s="4">
        <v>43</v>
      </c>
      <c r="C11" s="4">
        <v>37</v>
      </c>
      <c r="D11" s="4">
        <v>350</v>
      </c>
      <c r="E11" s="4">
        <v>31</v>
      </c>
      <c r="F11" s="4">
        <v>64</v>
      </c>
      <c r="G11" s="4">
        <v>0.01</v>
      </c>
      <c r="H11" s="4">
        <v>83.36</v>
      </c>
      <c r="I11" s="4">
        <v>83.29</v>
      </c>
      <c r="J11" s="4">
        <v>83.14</v>
      </c>
      <c r="K11" s="4">
        <v>83.16</v>
      </c>
      <c r="L11" s="4">
        <v>0.1003</v>
      </c>
      <c r="M11" s="4">
        <v>91</v>
      </c>
      <c r="N11" s="4">
        <v>257802</v>
      </c>
      <c r="O11" s="4">
        <v>0.34989999999999999</v>
      </c>
      <c r="P11" s="4">
        <v>22.5443</v>
      </c>
      <c r="Q11" s="4">
        <v>3.49</v>
      </c>
      <c r="R11" s="4">
        <v>224.72</v>
      </c>
      <c r="S11" s="4">
        <v>2.23E-2</v>
      </c>
    </row>
    <row r="12" spans="1:19" x14ac:dyDescent="0.2">
      <c r="A12" s="4">
        <v>50</v>
      </c>
      <c r="B12" s="4">
        <v>43</v>
      </c>
      <c r="C12" s="4">
        <v>37</v>
      </c>
      <c r="D12" s="4">
        <v>350</v>
      </c>
      <c r="E12" s="4">
        <v>21</v>
      </c>
      <c r="F12" s="4">
        <v>64</v>
      </c>
      <c r="G12" s="4">
        <v>1E-3</v>
      </c>
      <c r="H12" s="4">
        <v>83.35</v>
      </c>
      <c r="I12" s="4">
        <v>83.15</v>
      </c>
      <c r="J12" s="4">
        <v>83.12</v>
      </c>
      <c r="K12" s="4">
        <v>83.11</v>
      </c>
      <c r="L12" s="4">
        <v>7.3499999999999996E-2</v>
      </c>
      <c r="M12" s="4">
        <v>145</v>
      </c>
      <c r="N12" s="4">
        <v>175242</v>
      </c>
      <c r="O12" s="4">
        <v>0.34989999999999999</v>
      </c>
      <c r="P12" s="4">
        <v>22.5443</v>
      </c>
      <c r="Q12" s="4">
        <v>4.76</v>
      </c>
      <c r="R12" s="4">
        <v>306.64</v>
      </c>
      <c r="S12" s="4">
        <v>2.8400000000000001E-3</v>
      </c>
    </row>
    <row r="13" spans="1:19" x14ac:dyDescent="0.2">
      <c r="A13" s="4">
        <v>50</v>
      </c>
      <c r="B13" s="4">
        <v>43</v>
      </c>
      <c r="C13" s="4">
        <v>37</v>
      </c>
      <c r="D13" s="4">
        <v>350</v>
      </c>
      <c r="E13" s="4">
        <v>21</v>
      </c>
      <c r="F13" s="4">
        <v>64</v>
      </c>
      <c r="G13" s="4">
        <v>0.01</v>
      </c>
      <c r="H13" s="4">
        <v>83.15</v>
      </c>
      <c r="I13" s="4">
        <v>83.05</v>
      </c>
      <c r="J13" s="4">
        <v>82.95</v>
      </c>
      <c r="K13" s="4">
        <v>82.97</v>
      </c>
      <c r="L13" s="4">
        <v>0.1216</v>
      </c>
      <c r="M13" s="4">
        <v>136</v>
      </c>
      <c r="N13" s="4">
        <v>175242</v>
      </c>
      <c r="O13" s="4">
        <v>0.34989999999999999</v>
      </c>
      <c r="P13" s="4">
        <v>22.5443</v>
      </c>
      <c r="Q13" s="4">
        <v>2.88</v>
      </c>
      <c r="R13" s="4">
        <v>185.41</v>
      </c>
      <c r="S13" s="4">
        <v>1.132E-2</v>
      </c>
    </row>
    <row r="14" spans="1:19" x14ac:dyDescent="0.2">
      <c r="A14" s="4">
        <v>50</v>
      </c>
      <c r="B14" s="4">
        <v>43</v>
      </c>
      <c r="C14" s="4">
        <v>37</v>
      </c>
      <c r="D14" s="4">
        <v>350</v>
      </c>
      <c r="E14" s="4">
        <v>11</v>
      </c>
      <c r="F14" s="4">
        <v>64</v>
      </c>
      <c r="G14" s="4">
        <v>1E-3</v>
      </c>
      <c r="H14" s="4">
        <v>81.540000000000006</v>
      </c>
      <c r="I14" s="4">
        <v>81.42</v>
      </c>
      <c r="J14" s="4">
        <v>81.319999999999993</v>
      </c>
      <c r="K14" s="4">
        <v>81.34</v>
      </c>
      <c r="L14" s="4">
        <v>0.1004</v>
      </c>
      <c r="M14" s="4">
        <v>159</v>
      </c>
      <c r="N14" s="4">
        <v>92682</v>
      </c>
      <c r="O14" s="4">
        <v>0.34989999999999999</v>
      </c>
      <c r="P14" s="4">
        <v>22.5443</v>
      </c>
      <c r="Q14" s="4">
        <v>3.49</v>
      </c>
      <c r="R14" s="4">
        <v>224.63</v>
      </c>
      <c r="S14" s="4">
        <v>2.3879999999999998E-2</v>
      </c>
    </row>
    <row r="15" spans="1:19" x14ac:dyDescent="0.2">
      <c r="A15" s="4">
        <v>50</v>
      </c>
      <c r="B15" s="4">
        <v>43</v>
      </c>
      <c r="C15" s="4">
        <v>37</v>
      </c>
      <c r="D15" s="4">
        <v>350</v>
      </c>
      <c r="E15" s="4">
        <v>11</v>
      </c>
      <c r="F15" s="4">
        <v>64</v>
      </c>
      <c r="G15" s="4">
        <v>0.01</v>
      </c>
      <c r="H15" s="4">
        <v>81.11</v>
      </c>
      <c r="I15" s="4">
        <v>81.099999999999994</v>
      </c>
      <c r="J15" s="4">
        <v>80.849999999999994</v>
      </c>
      <c r="K15" s="4">
        <v>80.89</v>
      </c>
      <c r="L15" s="4">
        <v>8.5500000000000007E-2</v>
      </c>
      <c r="M15" s="4">
        <v>139</v>
      </c>
      <c r="N15" s="4">
        <v>92682</v>
      </c>
      <c r="O15" s="4">
        <v>0.34989999999999999</v>
      </c>
      <c r="P15" s="4">
        <v>22.5443</v>
      </c>
      <c r="Q15" s="4">
        <v>4.09</v>
      </c>
      <c r="R15" s="4">
        <v>263.77</v>
      </c>
      <c r="S15" s="4">
        <v>2.5669999999999998E-2</v>
      </c>
    </row>
    <row r="16" spans="1:19" x14ac:dyDescent="0.2">
      <c r="A16" s="4">
        <v>50</v>
      </c>
      <c r="B16" s="4">
        <v>43</v>
      </c>
      <c r="C16" s="4">
        <v>37</v>
      </c>
      <c r="D16" s="4">
        <v>350</v>
      </c>
      <c r="E16" s="4">
        <v>91</v>
      </c>
      <c r="F16" s="4">
        <v>32</v>
      </c>
      <c r="G16" s="4">
        <v>1E-3</v>
      </c>
      <c r="H16" s="4">
        <v>82.82</v>
      </c>
      <c r="I16" s="4">
        <v>82.74</v>
      </c>
      <c r="J16" s="4">
        <v>82.63</v>
      </c>
      <c r="K16" s="4">
        <v>82.66</v>
      </c>
      <c r="L16" s="4">
        <v>7.6200000000000004E-2</v>
      </c>
      <c r="M16" s="4">
        <v>150</v>
      </c>
      <c r="N16" s="4">
        <v>190218</v>
      </c>
      <c r="O16" s="4">
        <v>0.34989999999999999</v>
      </c>
      <c r="P16" s="4">
        <v>22.5443</v>
      </c>
      <c r="Q16" s="4">
        <v>4.59</v>
      </c>
      <c r="R16" s="4">
        <v>295.82</v>
      </c>
      <c r="S16" s="4">
        <v>7.7400000000000004E-3</v>
      </c>
    </row>
    <row r="17" spans="1:19" x14ac:dyDescent="0.2">
      <c r="A17" s="4">
        <v>50</v>
      </c>
      <c r="B17" s="4">
        <v>43</v>
      </c>
      <c r="C17" s="4">
        <v>37</v>
      </c>
      <c r="D17" s="4">
        <v>350</v>
      </c>
      <c r="E17" s="4">
        <v>91</v>
      </c>
      <c r="F17" s="4">
        <v>32</v>
      </c>
      <c r="G17" s="4">
        <v>0.01</v>
      </c>
      <c r="H17" s="4">
        <v>82.51</v>
      </c>
      <c r="I17" s="4">
        <v>82.42</v>
      </c>
      <c r="J17" s="4">
        <v>82.3</v>
      </c>
      <c r="K17" s="4">
        <v>82.34</v>
      </c>
      <c r="L17" s="4">
        <v>7.5999999999999998E-2</v>
      </c>
      <c r="M17" s="4">
        <v>91</v>
      </c>
      <c r="N17" s="4">
        <v>190218</v>
      </c>
      <c r="O17" s="4">
        <v>0.34989999999999999</v>
      </c>
      <c r="P17" s="4">
        <v>22.5443</v>
      </c>
      <c r="Q17" s="4">
        <v>4.5999999999999996</v>
      </c>
      <c r="R17" s="4">
        <v>296.56</v>
      </c>
      <c r="S17" s="4">
        <v>1.916E-2</v>
      </c>
    </row>
    <row r="18" spans="1:19" x14ac:dyDescent="0.2">
      <c r="A18" s="4">
        <v>50</v>
      </c>
      <c r="B18" s="4">
        <v>43</v>
      </c>
      <c r="C18" s="4">
        <v>37</v>
      </c>
      <c r="D18" s="4">
        <v>350</v>
      </c>
      <c r="E18" s="4">
        <v>81</v>
      </c>
      <c r="F18" s="4">
        <v>32</v>
      </c>
      <c r="G18" s="4">
        <v>0.01</v>
      </c>
      <c r="H18" s="4">
        <v>83.14</v>
      </c>
      <c r="I18" s="4">
        <v>82.93</v>
      </c>
      <c r="J18" s="4">
        <v>82.95</v>
      </c>
      <c r="K18" s="4">
        <v>82.92</v>
      </c>
      <c r="L18" s="4">
        <v>9.0899999999999995E-2</v>
      </c>
      <c r="M18" s="4">
        <v>149</v>
      </c>
      <c r="N18" s="4">
        <v>169418</v>
      </c>
      <c r="O18" s="4">
        <v>0.34989999999999999</v>
      </c>
      <c r="P18" s="4">
        <v>22.5443</v>
      </c>
      <c r="Q18" s="4">
        <v>3.85</v>
      </c>
      <c r="R18" s="4">
        <v>248.04</v>
      </c>
      <c r="S18" s="4">
        <v>2.3859999999999999E-2</v>
      </c>
    </row>
    <row r="19" spans="1:19" x14ac:dyDescent="0.2">
      <c r="A19" s="4">
        <v>50</v>
      </c>
      <c r="B19" s="4">
        <v>43</v>
      </c>
      <c r="C19" s="4">
        <v>37</v>
      </c>
      <c r="D19" s="4">
        <v>350</v>
      </c>
      <c r="E19" s="4">
        <v>81</v>
      </c>
      <c r="F19" s="4">
        <v>32</v>
      </c>
      <c r="G19" s="4">
        <v>1E-3</v>
      </c>
      <c r="H19" s="4">
        <v>82.63</v>
      </c>
      <c r="I19" s="4">
        <v>82.45</v>
      </c>
      <c r="J19" s="4">
        <v>82.42</v>
      </c>
      <c r="K19" s="4">
        <v>82.41</v>
      </c>
      <c r="L19" s="4">
        <v>8.9499999999999996E-2</v>
      </c>
      <c r="M19" s="4">
        <v>94</v>
      </c>
      <c r="N19" s="4">
        <v>169418</v>
      </c>
      <c r="O19" s="4">
        <v>0.34989999999999999</v>
      </c>
      <c r="P19" s="4">
        <v>22.5443</v>
      </c>
      <c r="Q19" s="4">
        <v>3.91</v>
      </c>
      <c r="R19" s="4">
        <v>251.92</v>
      </c>
      <c r="S19" s="4">
        <v>1.8800000000000001E-2</v>
      </c>
    </row>
    <row r="20" spans="1:19" x14ac:dyDescent="0.2">
      <c r="A20" s="4">
        <v>50</v>
      </c>
      <c r="B20" s="4">
        <v>43</v>
      </c>
      <c r="C20" s="4">
        <v>37</v>
      </c>
      <c r="D20" s="4">
        <v>350</v>
      </c>
      <c r="E20" s="4">
        <v>71</v>
      </c>
      <c r="F20" s="4">
        <v>32</v>
      </c>
      <c r="G20" s="4">
        <v>1E-3</v>
      </c>
      <c r="H20" s="4">
        <v>82.99</v>
      </c>
      <c r="I20" s="4">
        <v>82.89</v>
      </c>
      <c r="J20" s="4">
        <v>82.78</v>
      </c>
      <c r="K20" s="4">
        <v>82.81</v>
      </c>
      <c r="L20" s="4">
        <v>8.6199999999999999E-2</v>
      </c>
      <c r="M20" s="4">
        <v>139</v>
      </c>
      <c r="N20" s="4">
        <v>148618</v>
      </c>
      <c r="O20" s="4">
        <v>0.34989999999999999</v>
      </c>
      <c r="P20" s="4">
        <v>22.5443</v>
      </c>
      <c r="Q20" s="4">
        <v>4.0599999999999996</v>
      </c>
      <c r="R20" s="4">
        <v>261.60000000000002</v>
      </c>
      <c r="S20" s="4">
        <v>2.0129999999999999E-2</v>
      </c>
    </row>
    <row r="21" spans="1:19" x14ac:dyDescent="0.2">
      <c r="A21" s="4">
        <v>50</v>
      </c>
      <c r="B21" s="4">
        <v>43</v>
      </c>
      <c r="C21" s="4">
        <v>37</v>
      </c>
      <c r="D21" s="4">
        <v>350</v>
      </c>
      <c r="E21" s="4">
        <v>71</v>
      </c>
      <c r="F21" s="4">
        <v>32</v>
      </c>
      <c r="G21" s="4">
        <v>0.01</v>
      </c>
      <c r="H21" s="4">
        <v>82.57</v>
      </c>
      <c r="I21" s="4">
        <v>82.48</v>
      </c>
      <c r="J21" s="4">
        <v>82.42</v>
      </c>
      <c r="K21" s="4">
        <v>82.36</v>
      </c>
      <c r="L21" s="4">
        <v>7.0800000000000002E-2</v>
      </c>
      <c r="M21" s="4">
        <v>94</v>
      </c>
      <c r="N21" s="4">
        <v>148618</v>
      </c>
      <c r="O21" s="4">
        <v>0.34989999999999999</v>
      </c>
      <c r="P21" s="4">
        <v>22.5443</v>
      </c>
      <c r="Q21" s="4">
        <v>4.9400000000000004</v>
      </c>
      <c r="R21" s="4">
        <v>318.42</v>
      </c>
      <c r="S21" s="4">
        <v>9.2000000000000003E-4</v>
      </c>
    </row>
    <row r="22" spans="1:19" x14ac:dyDescent="0.2">
      <c r="A22" s="4">
        <v>50</v>
      </c>
      <c r="B22" s="4">
        <v>43</v>
      </c>
      <c r="C22" s="4">
        <v>37</v>
      </c>
      <c r="D22" s="4">
        <v>350</v>
      </c>
      <c r="E22" s="4">
        <v>41</v>
      </c>
      <c r="F22" s="4">
        <v>32</v>
      </c>
      <c r="G22" s="4">
        <v>0.01</v>
      </c>
      <c r="H22" s="4">
        <v>83.22</v>
      </c>
      <c r="I22" s="4">
        <v>83.08</v>
      </c>
      <c r="J22" s="4">
        <v>82.98</v>
      </c>
      <c r="K22" s="4">
        <v>83.01</v>
      </c>
      <c r="L22" s="4">
        <v>6.5600000000000006E-2</v>
      </c>
      <c r="M22" s="4">
        <v>126</v>
      </c>
      <c r="N22" s="4">
        <v>86218</v>
      </c>
      <c r="O22" s="4">
        <v>0.34989999999999999</v>
      </c>
      <c r="P22" s="4">
        <v>22.5443</v>
      </c>
      <c r="Q22" s="4">
        <v>5.33</v>
      </c>
      <c r="R22" s="4">
        <v>343.56</v>
      </c>
      <c r="S22" s="4">
        <v>1.33E-3</v>
      </c>
    </row>
    <row r="23" spans="1:19" x14ac:dyDescent="0.2">
      <c r="A23" s="4">
        <v>50</v>
      </c>
      <c r="B23" s="4">
        <v>43</v>
      </c>
      <c r="C23" s="4">
        <v>37</v>
      </c>
      <c r="D23" s="4">
        <v>350</v>
      </c>
      <c r="E23" s="4">
        <v>41</v>
      </c>
      <c r="F23" s="4">
        <v>32</v>
      </c>
      <c r="G23" s="4">
        <v>1E-3</v>
      </c>
      <c r="H23" s="4">
        <v>83.03</v>
      </c>
      <c r="I23" s="4">
        <v>82.88</v>
      </c>
      <c r="J23" s="4">
        <v>82.85</v>
      </c>
      <c r="K23" s="4">
        <v>82.84</v>
      </c>
      <c r="L23" s="4">
        <v>6.5100000000000005E-2</v>
      </c>
      <c r="M23" s="4">
        <v>152</v>
      </c>
      <c r="N23" s="4">
        <v>86218</v>
      </c>
      <c r="O23" s="4">
        <v>0.34989999999999999</v>
      </c>
      <c r="P23" s="4">
        <v>22.5443</v>
      </c>
      <c r="Q23" s="4">
        <v>5.37</v>
      </c>
      <c r="R23" s="4">
        <v>346.36</v>
      </c>
      <c r="S23" s="4">
        <v>6.9999999999999999E-4</v>
      </c>
    </row>
    <row r="24" spans="1:19" x14ac:dyDescent="0.2">
      <c r="A24" s="4">
        <v>50</v>
      </c>
      <c r="B24" s="4">
        <v>43</v>
      </c>
      <c r="C24" s="4">
        <v>37</v>
      </c>
      <c r="D24" s="4">
        <v>350</v>
      </c>
      <c r="E24" s="4">
        <v>31</v>
      </c>
      <c r="F24" s="4">
        <v>32</v>
      </c>
      <c r="G24" s="4">
        <v>1E-3</v>
      </c>
      <c r="H24" s="4">
        <v>83.03</v>
      </c>
      <c r="I24" s="4">
        <v>82.81</v>
      </c>
      <c r="J24" s="4">
        <v>82.83</v>
      </c>
      <c r="K24" s="4">
        <v>82.8</v>
      </c>
      <c r="L24" s="4">
        <v>7.2099999999999997E-2</v>
      </c>
      <c r="M24" s="4">
        <v>153</v>
      </c>
      <c r="N24" s="4">
        <v>65418</v>
      </c>
      <c r="O24" s="4">
        <v>0.34989999999999999</v>
      </c>
      <c r="P24" s="4">
        <v>22.5443</v>
      </c>
      <c r="Q24" s="4">
        <v>4.8499999999999996</v>
      </c>
      <c r="R24" s="4">
        <v>312.55</v>
      </c>
      <c r="S24" s="4">
        <v>3.9699999999999996E-3</v>
      </c>
    </row>
    <row r="25" spans="1:19" x14ac:dyDescent="0.2">
      <c r="A25" s="4">
        <v>50</v>
      </c>
      <c r="B25" s="4">
        <v>43</v>
      </c>
      <c r="C25" s="4">
        <v>37</v>
      </c>
      <c r="D25" s="4">
        <v>350</v>
      </c>
      <c r="E25" s="4">
        <v>31</v>
      </c>
      <c r="F25" s="4">
        <v>32</v>
      </c>
      <c r="G25" s="4">
        <v>0.01</v>
      </c>
      <c r="H25" s="4">
        <v>82.87</v>
      </c>
      <c r="I25" s="4">
        <v>82.81</v>
      </c>
      <c r="J25" s="4">
        <v>82.65</v>
      </c>
      <c r="K25" s="4">
        <v>82.69</v>
      </c>
      <c r="L25" s="4">
        <v>6.8599999999999994E-2</v>
      </c>
      <c r="M25" s="4">
        <v>85</v>
      </c>
      <c r="N25" s="4">
        <v>65418</v>
      </c>
      <c r="O25" s="4">
        <v>0.34989999999999999</v>
      </c>
      <c r="P25" s="4">
        <v>22.5443</v>
      </c>
      <c r="Q25" s="4">
        <v>5.0999999999999996</v>
      </c>
      <c r="R25" s="4">
        <v>328.44</v>
      </c>
      <c r="S25" s="4">
        <v>1.1900000000000001E-3</v>
      </c>
    </row>
    <row r="26" spans="1:19" x14ac:dyDescent="0.2">
      <c r="A26" s="4">
        <v>50</v>
      </c>
      <c r="B26" s="4">
        <v>43</v>
      </c>
      <c r="C26" s="4">
        <v>37</v>
      </c>
      <c r="D26" s="4">
        <v>350</v>
      </c>
      <c r="E26" s="4">
        <v>21</v>
      </c>
      <c r="F26" s="4">
        <v>32</v>
      </c>
      <c r="G26" s="4">
        <v>0.01</v>
      </c>
      <c r="H26" s="4">
        <v>83.14</v>
      </c>
      <c r="I26" s="4">
        <v>82.96</v>
      </c>
      <c r="J26" s="4">
        <v>82.93</v>
      </c>
      <c r="K26" s="4">
        <v>82.92</v>
      </c>
      <c r="L26" s="4">
        <v>7.1099999999999997E-2</v>
      </c>
      <c r="M26" s="4">
        <v>143</v>
      </c>
      <c r="N26" s="4">
        <v>44618</v>
      </c>
      <c r="O26" s="4">
        <v>0.34989999999999999</v>
      </c>
      <c r="P26" s="4">
        <v>22.5443</v>
      </c>
      <c r="Q26" s="4">
        <v>4.92</v>
      </c>
      <c r="R26" s="4">
        <v>317.20999999999998</v>
      </c>
      <c r="S26" s="4">
        <v>3.2000000000000003E-4</v>
      </c>
    </row>
    <row r="27" spans="1:19" x14ac:dyDescent="0.2">
      <c r="A27" s="4">
        <v>50</v>
      </c>
      <c r="B27" s="4">
        <v>43</v>
      </c>
      <c r="C27" s="4">
        <v>37</v>
      </c>
      <c r="D27" s="4">
        <v>350</v>
      </c>
      <c r="E27" s="4">
        <v>21</v>
      </c>
      <c r="F27" s="4">
        <v>32</v>
      </c>
      <c r="G27" s="4">
        <v>1E-3</v>
      </c>
      <c r="H27" s="4">
        <v>82.87</v>
      </c>
      <c r="I27" s="4">
        <v>82.66</v>
      </c>
      <c r="J27" s="4">
        <v>82.64</v>
      </c>
      <c r="K27" s="4">
        <v>82.64</v>
      </c>
      <c r="L27" s="4">
        <v>0.1244</v>
      </c>
      <c r="M27" s="4">
        <v>147</v>
      </c>
      <c r="N27" s="4">
        <v>44618</v>
      </c>
      <c r="O27" s="4">
        <v>0.34989999999999999</v>
      </c>
      <c r="P27" s="4">
        <v>22.5443</v>
      </c>
      <c r="Q27" s="4">
        <v>2.81</v>
      </c>
      <c r="R27" s="4">
        <v>181.22</v>
      </c>
      <c r="S27" s="4">
        <v>8.7100000000000007E-3</v>
      </c>
    </row>
    <row r="28" spans="1:19" x14ac:dyDescent="0.2">
      <c r="A28" s="4">
        <v>50</v>
      </c>
      <c r="B28" s="4">
        <v>43</v>
      </c>
      <c r="C28" s="4">
        <v>37</v>
      </c>
      <c r="D28" s="4">
        <v>350</v>
      </c>
      <c r="E28" s="4">
        <v>11</v>
      </c>
      <c r="F28" s="4">
        <v>32</v>
      </c>
      <c r="G28" s="4">
        <v>0.01</v>
      </c>
      <c r="H28" s="4">
        <v>80.930000000000007</v>
      </c>
      <c r="I28" s="4">
        <v>80.849999999999994</v>
      </c>
      <c r="J28" s="4">
        <v>80.69</v>
      </c>
      <c r="K28" s="4">
        <v>80.73</v>
      </c>
      <c r="L28" s="4">
        <v>6.8500000000000005E-2</v>
      </c>
      <c r="M28" s="4">
        <v>156</v>
      </c>
      <c r="N28" s="4">
        <v>23818</v>
      </c>
      <c r="O28" s="4">
        <v>0.34989999999999999</v>
      </c>
      <c r="P28" s="4">
        <v>22.5443</v>
      </c>
      <c r="Q28" s="4">
        <v>5.0999999999999996</v>
      </c>
      <c r="R28" s="4">
        <v>328.92</v>
      </c>
      <c r="S28" s="4">
        <v>1.3999999999999999E-4</v>
      </c>
    </row>
    <row r="29" spans="1:19" x14ac:dyDescent="0.2">
      <c r="A29" s="4">
        <v>50</v>
      </c>
      <c r="B29" s="4">
        <v>43</v>
      </c>
      <c r="C29" s="4">
        <v>37</v>
      </c>
      <c r="D29" s="4">
        <v>350</v>
      </c>
      <c r="E29" s="4">
        <v>11</v>
      </c>
      <c r="F29" s="4">
        <v>32</v>
      </c>
      <c r="G29" s="4">
        <v>1E-3</v>
      </c>
      <c r="H29" s="4">
        <v>80.319999999999993</v>
      </c>
      <c r="I29" s="4">
        <v>80.150000000000006</v>
      </c>
      <c r="J29" s="4">
        <v>80.05</v>
      </c>
      <c r="K29" s="4">
        <v>80.05</v>
      </c>
      <c r="L29" s="4">
        <v>7.6700000000000004E-2</v>
      </c>
      <c r="M29" s="4">
        <v>139</v>
      </c>
      <c r="N29" s="4">
        <v>23818</v>
      </c>
      <c r="O29" s="4">
        <v>0.34989999999999999</v>
      </c>
      <c r="P29" s="4">
        <v>22.5443</v>
      </c>
      <c r="Q29" s="4">
        <v>4.5599999999999996</v>
      </c>
      <c r="R29" s="4">
        <v>294.04000000000002</v>
      </c>
      <c r="S29" s="4">
        <v>1.456E-2</v>
      </c>
    </row>
    <row r="30" spans="1:19" x14ac:dyDescent="0.2">
      <c r="A30" s="3">
        <v>100</v>
      </c>
      <c r="B30" s="3">
        <v>17</v>
      </c>
      <c r="C30" s="3">
        <v>39</v>
      </c>
      <c r="D30" s="3">
        <v>450</v>
      </c>
      <c r="E30" s="3">
        <v>91</v>
      </c>
      <c r="F30" s="3">
        <v>64</v>
      </c>
      <c r="G30" s="3">
        <v>0.01</v>
      </c>
      <c r="H30" s="3">
        <v>93.67</v>
      </c>
      <c r="I30" s="3">
        <v>93.66</v>
      </c>
      <c r="J30" s="3">
        <v>93.6</v>
      </c>
      <c r="K30" s="3">
        <v>93.62</v>
      </c>
      <c r="L30" s="3">
        <v>0.18129999999999999</v>
      </c>
      <c r="M30" s="3">
        <v>111</v>
      </c>
      <c r="N30" s="3">
        <v>753162</v>
      </c>
      <c r="O30" s="3">
        <v>0.37230000000000002</v>
      </c>
      <c r="P30" s="3">
        <v>34.180300000000003</v>
      </c>
      <c r="Q30" s="3">
        <v>2.0499999999999998</v>
      </c>
      <c r="R30" s="3">
        <v>188.5</v>
      </c>
      <c r="S30" s="3">
        <v>3.0000000000000001E-5</v>
      </c>
    </row>
    <row r="31" spans="1:19" x14ac:dyDescent="0.2">
      <c r="A31" s="3">
        <v>100</v>
      </c>
      <c r="B31" s="3">
        <v>17</v>
      </c>
      <c r="C31" s="3">
        <v>39</v>
      </c>
      <c r="D31" s="3">
        <v>450</v>
      </c>
      <c r="E31" s="3">
        <v>91</v>
      </c>
      <c r="F31" s="3">
        <v>64</v>
      </c>
      <c r="G31" s="3">
        <v>1E-3</v>
      </c>
      <c r="H31" s="3">
        <v>93.59</v>
      </c>
      <c r="I31" s="3">
        <v>93.57</v>
      </c>
      <c r="J31" s="3">
        <v>93.52</v>
      </c>
      <c r="K31" s="3">
        <v>93.54</v>
      </c>
      <c r="L31" s="3">
        <v>0.18129999999999999</v>
      </c>
      <c r="M31" s="3">
        <v>86</v>
      </c>
      <c r="N31" s="3">
        <v>753162</v>
      </c>
      <c r="O31" s="3">
        <v>0.37230000000000002</v>
      </c>
      <c r="P31" s="3">
        <v>34.180300000000003</v>
      </c>
      <c r="Q31" s="3">
        <v>2.0499999999999998</v>
      </c>
      <c r="R31" s="3">
        <v>188.51</v>
      </c>
      <c r="S31" s="3">
        <v>3.0000000000000001E-5</v>
      </c>
    </row>
    <row r="32" spans="1:19" x14ac:dyDescent="0.2">
      <c r="A32" s="3">
        <v>100</v>
      </c>
      <c r="B32" s="3">
        <v>17</v>
      </c>
      <c r="C32" s="3">
        <v>39</v>
      </c>
      <c r="D32" s="3">
        <v>450</v>
      </c>
      <c r="E32" s="3">
        <v>81</v>
      </c>
      <c r="F32" s="3">
        <v>64</v>
      </c>
      <c r="G32" s="3">
        <v>0.01</v>
      </c>
      <c r="H32" s="3">
        <v>93.8</v>
      </c>
      <c r="I32" s="3">
        <v>93.79</v>
      </c>
      <c r="J32" s="3">
        <v>93.73</v>
      </c>
      <c r="K32" s="3">
        <v>93.75</v>
      </c>
      <c r="L32" s="3">
        <v>0.1648</v>
      </c>
      <c r="M32" s="3">
        <v>111</v>
      </c>
      <c r="N32" s="3">
        <v>670602</v>
      </c>
      <c r="O32" s="3">
        <v>0.37230000000000002</v>
      </c>
      <c r="P32" s="3">
        <v>34.180300000000003</v>
      </c>
      <c r="Q32" s="3">
        <v>2.2599999999999998</v>
      </c>
      <c r="R32" s="3">
        <v>207.47</v>
      </c>
      <c r="S32" s="3">
        <v>4.0000000000000003E-5</v>
      </c>
    </row>
    <row r="33" spans="1:19" x14ac:dyDescent="0.2">
      <c r="A33" s="3">
        <v>100</v>
      </c>
      <c r="B33" s="3">
        <v>17</v>
      </c>
      <c r="C33" s="3">
        <v>39</v>
      </c>
      <c r="D33" s="3">
        <v>450</v>
      </c>
      <c r="E33" s="3">
        <v>81</v>
      </c>
      <c r="F33" s="3">
        <v>64</v>
      </c>
      <c r="G33" s="3">
        <v>1E-3</v>
      </c>
      <c r="H33" s="3">
        <v>93.62</v>
      </c>
      <c r="I33" s="3">
        <v>93.56</v>
      </c>
      <c r="J33" s="3">
        <v>93.55</v>
      </c>
      <c r="K33" s="3">
        <v>93.55</v>
      </c>
      <c r="L33" s="3">
        <v>0.1646</v>
      </c>
      <c r="M33" s="3">
        <v>110</v>
      </c>
      <c r="N33" s="3">
        <v>670602</v>
      </c>
      <c r="O33" s="3">
        <v>0.37230000000000002</v>
      </c>
      <c r="P33" s="3">
        <v>34.180300000000003</v>
      </c>
      <c r="Q33" s="3">
        <v>2.2599999999999998</v>
      </c>
      <c r="R33" s="3">
        <v>207.72</v>
      </c>
      <c r="S33" s="3">
        <v>1.9000000000000001E-4</v>
      </c>
    </row>
    <row r="34" spans="1:19" x14ac:dyDescent="0.2">
      <c r="A34" s="3">
        <v>100</v>
      </c>
      <c r="B34" s="3">
        <v>17</v>
      </c>
      <c r="C34" s="3">
        <v>39</v>
      </c>
      <c r="D34" s="3">
        <v>450</v>
      </c>
      <c r="E34" s="3">
        <v>71</v>
      </c>
      <c r="F34" s="3">
        <v>64</v>
      </c>
      <c r="G34" s="3">
        <v>1E-3</v>
      </c>
      <c r="H34" s="3">
        <v>93.66</v>
      </c>
      <c r="I34" s="3">
        <v>93.63</v>
      </c>
      <c r="J34" s="3">
        <v>93.58</v>
      </c>
      <c r="K34" s="3">
        <v>93.6</v>
      </c>
      <c r="L34" s="3">
        <v>0.1467</v>
      </c>
      <c r="M34" s="3">
        <v>163</v>
      </c>
      <c r="N34" s="3">
        <v>588042</v>
      </c>
      <c r="O34" s="3">
        <v>0.37230000000000002</v>
      </c>
      <c r="P34" s="3">
        <v>34.180300000000003</v>
      </c>
      <c r="Q34" s="3">
        <v>2.54</v>
      </c>
      <c r="R34" s="3">
        <v>232.92</v>
      </c>
      <c r="S34" s="3">
        <v>1.3999999999999999E-4</v>
      </c>
    </row>
    <row r="35" spans="1:19" x14ac:dyDescent="0.2">
      <c r="A35" s="3">
        <v>100</v>
      </c>
      <c r="B35" s="3">
        <v>17</v>
      </c>
      <c r="C35" s="3">
        <v>39</v>
      </c>
      <c r="D35" s="3">
        <v>450</v>
      </c>
      <c r="E35" s="3">
        <v>71</v>
      </c>
      <c r="F35" s="3">
        <v>64</v>
      </c>
      <c r="G35" s="3">
        <v>0.01</v>
      </c>
      <c r="H35" s="3">
        <v>93.58</v>
      </c>
      <c r="I35" s="3">
        <v>93.54</v>
      </c>
      <c r="J35" s="3">
        <v>93.51</v>
      </c>
      <c r="K35" s="3">
        <v>93.52</v>
      </c>
      <c r="L35" s="3">
        <v>0.14710000000000001</v>
      </c>
      <c r="M35" s="3">
        <v>113</v>
      </c>
      <c r="N35" s="3">
        <v>588042</v>
      </c>
      <c r="O35" s="3">
        <v>0.37230000000000002</v>
      </c>
      <c r="P35" s="3">
        <v>34.180300000000003</v>
      </c>
      <c r="Q35" s="3">
        <v>2.5299999999999998</v>
      </c>
      <c r="R35" s="3">
        <v>232.42</v>
      </c>
      <c r="S35" s="3">
        <v>5.2999999999999998E-4</v>
      </c>
    </row>
    <row r="36" spans="1:19" x14ac:dyDescent="0.2">
      <c r="A36" s="3">
        <v>100</v>
      </c>
      <c r="B36" s="3">
        <v>17</v>
      </c>
      <c r="C36" s="3">
        <v>39</v>
      </c>
      <c r="D36" s="3">
        <v>450</v>
      </c>
      <c r="E36" s="3">
        <v>41</v>
      </c>
      <c r="F36" s="3">
        <v>64</v>
      </c>
      <c r="G36" s="3">
        <v>0.01</v>
      </c>
      <c r="H36" s="3">
        <v>93.46</v>
      </c>
      <c r="I36" s="3">
        <v>93.42</v>
      </c>
      <c r="J36" s="3">
        <v>93.4</v>
      </c>
      <c r="K36" s="3">
        <v>93.4</v>
      </c>
      <c r="L36" s="3">
        <v>8.0399999999999999E-2</v>
      </c>
      <c r="M36" s="3">
        <v>97</v>
      </c>
      <c r="N36" s="3">
        <v>340362</v>
      </c>
      <c r="O36" s="3">
        <v>0.37230000000000002</v>
      </c>
      <c r="P36" s="3">
        <v>34.180300000000003</v>
      </c>
      <c r="Q36" s="3">
        <v>4.63</v>
      </c>
      <c r="R36" s="3">
        <v>425.39</v>
      </c>
      <c r="S36" s="3">
        <v>1.6000000000000001E-4</v>
      </c>
    </row>
    <row r="37" spans="1:19" x14ac:dyDescent="0.2">
      <c r="A37" s="3">
        <v>100</v>
      </c>
      <c r="B37" s="3">
        <v>17</v>
      </c>
      <c r="C37" s="3">
        <v>39</v>
      </c>
      <c r="D37" s="3">
        <v>450</v>
      </c>
      <c r="E37" s="3">
        <v>41</v>
      </c>
      <c r="F37" s="3">
        <v>64</v>
      </c>
      <c r="G37" s="3">
        <v>1E-3</v>
      </c>
      <c r="H37" s="3">
        <v>93.35</v>
      </c>
      <c r="I37" s="3">
        <v>93.3</v>
      </c>
      <c r="J37" s="3">
        <v>93.27</v>
      </c>
      <c r="K37" s="3">
        <v>93.28</v>
      </c>
      <c r="L37" s="3">
        <v>9.8199999999999996E-2</v>
      </c>
      <c r="M37" s="3">
        <v>144</v>
      </c>
      <c r="N37" s="3">
        <v>340362</v>
      </c>
      <c r="O37" s="3">
        <v>0.37230000000000002</v>
      </c>
      <c r="P37" s="3">
        <v>34.180300000000003</v>
      </c>
      <c r="Q37" s="3">
        <v>3.79</v>
      </c>
      <c r="R37" s="3">
        <v>347.96</v>
      </c>
      <c r="S37" s="3">
        <v>3.8999999999999999E-4</v>
      </c>
    </row>
    <row r="38" spans="1:19" x14ac:dyDescent="0.2">
      <c r="A38" s="3">
        <v>100</v>
      </c>
      <c r="B38" s="3">
        <v>17</v>
      </c>
      <c r="C38" s="3">
        <v>39</v>
      </c>
      <c r="D38" s="3">
        <v>450</v>
      </c>
      <c r="E38" s="3">
        <v>31</v>
      </c>
      <c r="F38" s="3">
        <v>64</v>
      </c>
      <c r="G38" s="3">
        <v>1E-3</v>
      </c>
      <c r="H38" s="3">
        <v>93.14</v>
      </c>
      <c r="I38" s="3">
        <v>93.11</v>
      </c>
      <c r="J38" s="3">
        <v>93.05</v>
      </c>
      <c r="K38" s="3">
        <v>93.07</v>
      </c>
      <c r="L38" s="3">
        <v>6.6500000000000004E-2</v>
      </c>
      <c r="M38" s="3">
        <v>125</v>
      </c>
      <c r="N38" s="3">
        <v>257802</v>
      </c>
      <c r="O38" s="3">
        <v>0.37230000000000002</v>
      </c>
      <c r="P38" s="3">
        <v>34.180300000000003</v>
      </c>
      <c r="Q38" s="3">
        <v>5.6</v>
      </c>
      <c r="R38" s="3">
        <v>513.99</v>
      </c>
      <c r="S38" s="3">
        <v>4.6000000000000001E-4</v>
      </c>
    </row>
    <row r="39" spans="1:19" x14ac:dyDescent="0.2">
      <c r="A39" s="3">
        <v>100</v>
      </c>
      <c r="B39" s="3">
        <v>17</v>
      </c>
      <c r="C39" s="3">
        <v>39</v>
      </c>
      <c r="D39" s="3">
        <v>450</v>
      </c>
      <c r="E39" s="3">
        <v>31</v>
      </c>
      <c r="F39" s="3">
        <v>64</v>
      </c>
      <c r="G39" s="3">
        <v>0.01</v>
      </c>
      <c r="H39" s="3">
        <v>92.9</v>
      </c>
      <c r="I39" s="3">
        <v>92.89</v>
      </c>
      <c r="J39" s="3">
        <v>92.82</v>
      </c>
      <c r="K39" s="3">
        <v>92.84</v>
      </c>
      <c r="L39" s="3">
        <v>9.6199999999999994E-2</v>
      </c>
      <c r="M39" s="3">
        <v>91</v>
      </c>
      <c r="N39" s="3">
        <v>257802</v>
      </c>
      <c r="O39" s="3">
        <v>0.37230000000000002</v>
      </c>
      <c r="P39" s="3">
        <v>34.180300000000003</v>
      </c>
      <c r="Q39" s="3">
        <v>3.87</v>
      </c>
      <c r="R39" s="3">
        <v>355.27</v>
      </c>
      <c r="S39" s="3">
        <v>1.8270000000000002E-2</v>
      </c>
    </row>
    <row r="40" spans="1:19" x14ac:dyDescent="0.2">
      <c r="A40" s="3">
        <v>100</v>
      </c>
      <c r="B40" s="3">
        <v>17</v>
      </c>
      <c r="C40" s="3">
        <v>39</v>
      </c>
      <c r="D40" s="3">
        <v>450</v>
      </c>
      <c r="E40" s="3">
        <v>21</v>
      </c>
      <c r="F40" s="3">
        <v>64</v>
      </c>
      <c r="G40" s="3">
        <v>0.01</v>
      </c>
      <c r="H40" s="3">
        <v>92.58</v>
      </c>
      <c r="I40" s="3">
        <v>92.54</v>
      </c>
      <c r="J40" s="3">
        <v>92.48</v>
      </c>
      <c r="K40" s="3">
        <v>92.5</v>
      </c>
      <c r="L40" s="3">
        <v>7.2300000000000003E-2</v>
      </c>
      <c r="M40" s="3">
        <v>160</v>
      </c>
      <c r="N40" s="3">
        <v>175242</v>
      </c>
      <c r="O40" s="3">
        <v>0.37230000000000002</v>
      </c>
      <c r="P40" s="3">
        <v>34.180300000000003</v>
      </c>
      <c r="Q40" s="3">
        <v>5.15</v>
      </c>
      <c r="R40" s="3">
        <v>472.69</v>
      </c>
      <c r="S40" s="3">
        <v>6.4000000000000005E-4</v>
      </c>
    </row>
    <row r="41" spans="1:19" x14ac:dyDescent="0.2">
      <c r="A41" s="3">
        <v>100</v>
      </c>
      <c r="B41" s="3">
        <v>17</v>
      </c>
      <c r="C41" s="3">
        <v>39</v>
      </c>
      <c r="D41" s="3">
        <v>450</v>
      </c>
      <c r="E41" s="3">
        <v>21</v>
      </c>
      <c r="F41" s="3">
        <v>64</v>
      </c>
      <c r="G41" s="3">
        <v>1E-3</v>
      </c>
      <c r="H41" s="3">
        <v>92.15</v>
      </c>
      <c r="I41" s="3">
        <v>92.11</v>
      </c>
      <c r="J41" s="3">
        <v>92.05</v>
      </c>
      <c r="K41" s="3">
        <v>92.07</v>
      </c>
      <c r="L41" s="3">
        <v>6.9099999999999995E-2</v>
      </c>
      <c r="M41" s="3">
        <v>95</v>
      </c>
      <c r="N41" s="3">
        <v>175242</v>
      </c>
      <c r="O41" s="3">
        <v>0.37230000000000002</v>
      </c>
      <c r="P41" s="3">
        <v>34.180300000000003</v>
      </c>
      <c r="Q41" s="3">
        <v>5.39</v>
      </c>
      <c r="R41" s="3">
        <v>494.51</v>
      </c>
      <c r="S41" s="3">
        <v>7.1000000000000002E-4</v>
      </c>
    </row>
    <row r="42" spans="1:19" x14ac:dyDescent="0.2">
      <c r="A42" s="3">
        <v>100</v>
      </c>
      <c r="B42" s="3">
        <v>17</v>
      </c>
      <c r="C42" s="3">
        <v>39</v>
      </c>
      <c r="D42" s="3">
        <v>450</v>
      </c>
      <c r="E42" s="3">
        <v>11</v>
      </c>
      <c r="F42" s="3">
        <v>64</v>
      </c>
      <c r="G42" s="3">
        <v>0.01</v>
      </c>
      <c r="H42" s="3">
        <v>89.37</v>
      </c>
      <c r="I42" s="3">
        <v>89.27</v>
      </c>
      <c r="J42" s="3">
        <v>89.21</v>
      </c>
      <c r="K42" s="3">
        <v>89.23</v>
      </c>
      <c r="L42" s="3">
        <v>0.1173</v>
      </c>
      <c r="M42" s="3">
        <v>159</v>
      </c>
      <c r="N42" s="3">
        <v>92682</v>
      </c>
      <c r="O42" s="3">
        <v>0.37230000000000002</v>
      </c>
      <c r="P42" s="3">
        <v>34.180300000000003</v>
      </c>
      <c r="Q42" s="3">
        <v>3.17</v>
      </c>
      <c r="R42" s="3">
        <v>291.37</v>
      </c>
      <c r="S42" s="3">
        <v>1.6899999999999998E-2</v>
      </c>
    </row>
    <row r="43" spans="1:19" x14ac:dyDescent="0.2">
      <c r="A43" s="3">
        <v>100</v>
      </c>
      <c r="B43" s="3">
        <v>17</v>
      </c>
      <c r="C43" s="3">
        <v>39</v>
      </c>
      <c r="D43" s="3">
        <v>450</v>
      </c>
      <c r="E43" s="3">
        <v>11</v>
      </c>
      <c r="F43" s="3">
        <v>64</v>
      </c>
      <c r="G43" s="3">
        <v>1E-3</v>
      </c>
      <c r="H43" s="3">
        <v>89.3</v>
      </c>
      <c r="I43" s="3">
        <v>89.21</v>
      </c>
      <c r="J43" s="3">
        <v>89.15</v>
      </c>
      <c r="K43" s="3">
        <v>89.17</v>
      </c>
      <c r="L43" s="3">
        <v>0.1237</v>
      </c>
      <c r="M43" s="3">
        <v>155</v>
      </c>
      <c r="N43" s="3">
        <v>92682</v>
      </c>
      <c r="O43" s="3">
        <v>0.37230000000000002</v>
      </c>
      <c r="P43" s="3">
        <v>34.180300000000003</v>
      </c>
      <c r="Q43" s="3">
        <v>3.01</v>
      </c>
      <c r="R43" s="3">
        <v>276.25</v>
      </c>
      <c r="S43" s="3">
        <v>1.3480000000000001E-2</v>
      </c>
    </row>
    <row r="44" spans="1:19" x14ac:dyDescent="0.2">
      <c r="A44" s="3">
        <v>100</v>
      </c>
      <c r="B44" s="3">
        <v>17</v>
      </c>
      <c r="C44" s="3">
        <v>39</v>
      </c>
      <c r="D44" s="3">
        <v>450</v>
      </c>
      <c r="E44" s="3">
        <v>91</v>
      </c>
      <c r="F44" s="3">
        <v>32</v>
      </c>
      <c r="G44" s="3">
        <v>0.01</v>
      </c>
      <c r="H44" s="3">
        <v>93.66</v>
      </c>
      <c r="I44" s="3">
        <v>93.63</v>
      </c>
      <c r="J44" s="3">
        <v>93.6</v>
      </c>
      <c r="K44" s="3">
        <v>93.61</v>
      </c>
      <c r="L44" s="3">
        <v>0.10050000000000001</v>
      </c>
      <c r="M44" s="3">
        <v>87</v>
      </c>
      <c r="N44" s="3">
        <v>190218</v>
      </c>
      <c r="O44" s="3">
        <v>0.37230000000000002</v>
      </c>
      <c r="P44" s="3">
        <v>34.180300000000003</v>
      </c>
      <c r="Q44" s="3">
        <v>3.7</v>
      </c>
      <c r="R44" s="3">
        <v>340</v>
      </c>
      <c r="S44" s="3">
        <v>1.976E-2</v>
      </c>
    </row>
    <row r="45" spans="1:19" x14ac:dyDescent="0.2">
      <c r="A45" s="3">
        <v>100</v>
      </c>
      <c r="B45" s="3">
        <v>17</v>
      </c>
      <c r="C45" s="3">
        <v>39</v>
      </c>
      <c r="D45" s="3">
        <v>450</v>
      </c>
      <c r="E45" s="3">
        <v>91</v>
      </c>
      <c r="F45" s="3">
        <v>32</v>
      </c>
      <c r="G45" s="3">
        <v>1E-3</v>
      </c>
      <c r="H45" s="3">
        <v>93.46</v>
      </c>
      <c r="I45" s="3">
        <v>93.42</v>
      </c>
      <c r="J45" s="3">
        <v>93.38</v>
      </c>
      <c r="K45" s="3">
        <v>93.39</v>
      </c>
      <c r="L45" s="3">
        <v>9.8000000000000004E-2</v>
      </c>
      <c r="M45" s="3">
        <v>85</v>
      </c>
      <c r="N45" s="3">
        <v>190218</v>
      </c>
      <c r="O45" s="3">
        <v>0.37230000000000002</v>
      </c>
      <c r="P45" s="3">
        <v>34.180300000000003</v>
      </c>
      <c r="Q45" s="3">
        <v>3.8</v>
      </c>
      <c r="R45" s="3">
        <v>348.78</v>
      </c>
      <c r="S45" s="3">
        <v>2.513E-2</v>
      </c>
    </row>
    <row r="46" spans="1:19" x14ac:dyDescent="0.2">
      <c r="A46" s="3">
        <v>100</v>
      </c>
      <c r="B46" s="3">
        <v>17</v>
      </c>
      <c r="C46" s="3">
        <v>39</v>
      </c>
      <c r="D46" s="3">
        <v>450</v>
      </c>
      <c r="E46" s="3">
        <v>81</v>
      </c>
      <c r="F46" s="3">
        <v>32</v>
      </c>
      <c r="G46" s="3">
        <v>0.01</v>
      </c>
      <c r="H46" s="3">
        <v>93.53</v>
      </c>
      <c r="I46" s="3">
        <v>93.46</v>
      </c>
      <c r="J46" s="3">
        <v>93.47</v>
      </c>
      <c r="K46" s="3">
        <v>93.46</v>
      </c>
      <c r="L46" s="3">
        <v>8.3299999999999999E-2</v>
      </c>
      <c r="M46" s="3">
        <v>92</v>
      </c>
      <c r="N46" s="3">
        <v>169418</v>
      </c>
      <c r="O46" s="3">
        <v>0.37230000000000002</v>
      </c>
      <c r="P46" s="3">
        <v>34.180300000000003</v>
      </c>
      <c r="Q46" s="3">
        <v>4.47</v>
      </c>
      <c r="R46" s="3">
        <v>410.38</v>
      </c>
      <c r="S46" s="3">
        <v>1.512E-2</v>
      </c>
    </row>
    <row r="47" spans="1:19" x14ac:dyDescent="0.2">
      <c r="A47" s="3">
        <v>100</v>
      </c>
      <c r="B47" s="3">
        <v>17</v>
      </c>
      <c r="C47" s="3">
        <v>39</v>
      </c>
      <c r="D47" s="3">
        <v>450</v>
      </c>
      <c r="E47" s="3">
        <v>81</v>
      </c>
      <c r="F47" s="3">
        <v>32</v>
      </c>
      <c r="G47" s="3">
        <v>1E-3</v>
      </c>
      <c r="H47" s="3">
        <v>93.47</v>
      </c>
      <c r="I47" s="3">
        <v>93.43</v>
      </c>
      <c r="J47" s="3">
        <v>93.4</v>
      </c>
      <c r="K47" s="3">
        <v>93.41</v>
      </c>
      <c r="L47" s="3">
        <v>6.8000000000000005E-2</v>
      </c>
      <c r="M47" s="3">
        <v>86</v>
      </c>
      <c r="N47" s="3">
        <v>169418</v>
      </c>
      <c r="O47" s="3">
        <v>0.37230000000000002</v>
      </c>
      <c r="P47" s="3">
        <v>34.180300000000003</v>
      </c>
      <c r="Q47" s="3">
        <v>5.48</v>
      </c>
      <c r="R47" s="3">
        <v>502.73</v>
      </c>
      <c r="S47" s="3">
        <v>1.2099999999999999E-3</v>
      </c>
    </row>
    <row r="48" spans="1:19" x14ac:dyDescent="0.2">
      <c r="A48" s="3">
        <v>100</v>
      </c>
      <c r="B48" s="3">
        <v>17</v>
      </c>
      <c r="C48" s="3">
        <v>39</v>
      </c>
      <c r="D48" s="3">
        <v>450</v>
      </c>
      <c r="E48" s="3">
        <v>71</v>
      </c>
      <c r="F48" s="3">
        <v>32</v>
      </c>
      <c r="G48" s="3">
        <v>1E-3</v>
      </c>
      <c r="H48" s="3">
        <v>93.57</v>
      </c>
      <c r="I48" s="3">
        <v>93.51</v>
      </c>
      <c r="J48" s="3">
        <v>93.52</v>
      </c>
      <c r="K48" s="3">
        <v>93.51</v>
      </c>
      <c r="L48" s="3">
        <v>0.1017</v>
      </c>
      <c r="M48" s="3">
        <v>153</v>
      </c>
      <c r="N48" s="3">
        <v>148618</v>
      </c>
      <c r="O48" s="3">
        <v>0.37230000000000002</v>
      </c>
      <c r="P48" s="3">
        <v>34.180300000000003</v>
      </c>
      <c r="Q48" s="3">
        <v>3.66</v>
      </c>
      <c r="R48" s="3">
        <v>336.09</v>
      </c>
      <c r="S48" s="3">
        <v>5.8100000000000001E-3</v>
      </c>
    </row>
    <row r="49" spans="1:19" x14ac:dyDescent="0.2">
      <c r="A49" s="3">
        <v>100</v>
      </c>
      <c r="B49" s="3">
        <v>17</v>
      </c>
      <c r="C49" s="3">
        <v>39</v>
      </c>
      <c r="D49" s="3">
        <v>450</v>
      </c>
      <c r="E49" s="3">
        <v>71</v>
      </c>
      <c r="F49" s="3">
        <v>32</v>
      </c>
      <c r="G49" s="3">
        <v>0.01</v>
      </c>
      <c r="H49" s="3">
        <v>93.48</v>
      </c>
      <c r="I49" s="3">
        <v>93.42</v>
      </c>
      <c r="J49" s="3">
        <v>93.4</v>
      </c>
      <c r="K49" s="3">
        <v>93.41</v>
      </c>
      <c r="L49" s="3">
        <v>6.7299999999999999E-2</v>
      </c>
      <c r="M49" s="3">
        <v>79</v>
      </c>
      <c r="N49" s="3">
        <v>148618</v>
      </c>
      <c r="O49" s="3">
        <v>0.37230000000000002</v>
      </c>
      <c r="P49" s="3">
        <v>34.180300000000003</v>
      </c>
      <c r="Q49" s="3">
        <v>5.53</v>
      </c>
      <c r="R49" s="3">
        <v>507.73</v>
      </c>
      <c r="S49" s="3">
        <v>2.9999999999999997E-4</v>
      </c>
    </row>
    <row r="50" spans="1:19" x14ac:dyDescent="0.2">
      <c r="A50" s="3">
        <v>100</v>
      </c>
      <c r="B50" s="3">
        <v>17</v>
      </c>
      <c r="C50" s="3">
        <v>39</v>
      </c>
      <c r="D50" s="3">
        <v>450</v>
      </c>
      <c r="E50" s="3">
        <v>41</v>
      </c>
      <c r="F50" s="3">
        <v>32</v>
      </c>
      <c r="G50" s="3">
        <v>0.01</v>
      </c>
      <c r="H50" s="3">
        <v>93.36</v>
      </c>
      <c r="I50" s="3">
        <v>93.29</v>
      </c>
      <c r="J50" s="3">
        <v>93.29</v>
      </c>
      <c r="K50" s="3">
        <v>93.29</v>
      </c>
      <c r="L50" s="3">
        <v>6.9900000000000004E-2</v>
      </c>
      <c r="M50" s="3">
        <v>137</v>
      </c>
      <c r="N50" s="3">
        <v>86218</v>
      </c>
      <c r="O50" s="3">
        <v>0.37230000000000002</v>
      </c>
      <c r="P50" s="3">
        <v>34.180300000000003</v>
      </c>
      <c r="Q50" s="3">
        <v>5.33</v>
      </c>
      <c r="R50" s="3">
        <v>488.92</v>
      </c>
      <c r="S50" s="3">
        <v>2.8800000000000002E-3</v>
      </c>
    </row>
    <row r="51" spans="1:19" x14ac:dyDescent="0.2">
      <c r="A51" s="3">
        <v>100</v>
      </c>
      <c r="B51" s="3">
        <v>17</v>
      </c>
      <c r="C51" s="3">
        <v>39</v>
      </c>
      <c r="D51" s="3">
        <v>450</v>
      </c>
      <c r="E51" s="3">
        <v>41</v>
      </c>
      <c r="F51" s="3">
        <v>32</v>
      </c>
      <c r="G51" s="3">
        <v>1E-3</v>
      </c>
      <c r="H51" s="3">
        <v>93.09</v>
      </c>
      <c r="I51" s="3">
        <v>93.04</v>
      </c>
      <c r="J51" s="3">
        <v>93.01</v>
      </c>
      <c r="K51" s="3">
        <v>93.02</v>
      </c>
      <c r="L51" s="3">
        <v>0.11210000000000001</v>
      </c>
      <c r="M51" s="3">
        <v>130</v>
      </c>
      <c r="N51" s="3">
        <v>86218</v>
      </c>
      <c r="O51" s="3">
        <v>0.37230000000000002</v>
      </c>
      <c r="P51" s="3">
        <v>34.180300000000003</v>
      </c>
      <c r="Q51" s="3">
        <v>3.32</v>
      </c>
      <c r="R51" s="3">
        <v>304.88</v>
      </c>
      <c r="S51" s="3">
        <v>3.0190000000000002E-2</v>
      </c>
    </row>
    <row r="52" spans="1:19" x14ac:dyDescent="0.2">
      <c r="A52" s="3">
        <v>100</v>
      </c>
      <c r="B52" s="3">
        <v>17</v>
      </c>
      <c r="C52" s="3">
        <v>39</v>
      </c>
      <c r="D52" s="3">
        <v>450</v>
      </c>
      <c r="E52" s="3">
        <v>31</v>
      </c>
      <c r="F52" s="3">
        <v>32</v>
      </c>
      <c r="G52" s="3">
        <v>0.01</v>
      </c>
      <c r="H52" s="3">
        <v>92.96</v>
      </c>
      <c r="I52" s="3">
        <v>92.89</v>
      </c>
      <c r="J52" s="3">
        <v>92.89</v>
      </c>
      <c r="K52" s="3">
        <v>92.89</v>
      </c>
      <c r="L52" s="3">
        <v>7.0400000000000004E-2</v>
      </c>
      <c r="M52" s="3">
        <v>137</v>
      </c>
      <c r="N52" s="3">
        <v>65418</v>
      </c>
      <c r="O52" s="3">
        <v>0.37230000000000002</v>
      </c>
      <c r="P52" s="3">
        <v>34.180300000000003</v>
      </c>
      <c r="Q52" s="3">
        <v>5.29</v>
      </c>
      <c r="R52" s="3">
        <v>485.17</v>
      </c>
      <c r="S52" s="3">
        <v>9.1E-4</v>
      </c>
    </row>
    <row r="53" spans="1:19" x14ac:dyDescent="0.2">
      <c r="A53" s="3">
        <v>100</v>
      </c>
      <c r="B53" s="3">
        <v>17</v>
      </c>
      <c r="C53" s="3">
        <v>39</v>
      </c>
      <c r="D53" s="3">
        <v>450</v>
      </c>
      <c r="E53" s="3">
        <v>31</v>
      </c>
      <c r="F53" s="3">
        <v>32</v>
      </c>
      <c r="G53" s="3">
        <v>1E-3</v>
      </c>
      <c r="H53" s="3">
        <v>92.37</v>
      </c>
      <c r="I53" s="3">
        <v>92.27</v>
      </c>
      <c r="J53" s="3">
        <v>92.3</v>
      </c>
      <c r="K53" s="3">
        <v>92.28</v>
      </c>
      <c r="L53" s="3">
        <v>6.9199999999999998E-2</v>
      </c>
      <c r="M53" s="3">
        <v>85</v>
      </c>
      <c r="N53" s="3">
        <v>65418</v>
      </c>
      <c r="O53" s="3">
        <v>0.37230000000000002</v>
      </c>
      <c r="P53" s="3">
        <v>34.180300000000003</v>
      </c>
      <c r="Q53" s="3">
        <v>5.38</v>
      </c>
      <c r="R53" s="3">
        <v>494.15</v>
      </c>
      <c r="S53" s="3">
        <v>1.08E-3</v>
      </c>
    </row>
    <row r="54" spans="1:19" x14ac:dyDescent="0.2">
      <c r="A54" s="3">
        <v>100</v>
      </c>
      <c r="B54" s="3">
        <v>17</v>
      </c>
      <c r="C54" s="3">
        <v>39</v>
      </c>
      <c r="D54" s="3">
        <v>450</v>
      </c>
      <c r="E54" s="3">
        <v>21</v>
      </c>
      <c r="F54" s="3">
        <v>32</v>
      </c>
      <c r="G54" s="3">
        <v>0.01</v>
      </c>
      <c r="H54" s="3">
        <v>92.07</v>
      </c>
      <c r="I54" s="3">
        <v>92.03</v>
      </c>
      <c r="J54" s="3">
        <v>91.98</v>
      </c>
      <c r="K54" s="3">
        <v>91.99</v>
      </c>
      <c r="L54" s="3">
        <v>0.11070000000000001</v>
      </c>
      <c r="M54" s="3">
        <v>128</v>
      </c>
      <c r="N54" s="3">
        <v>44618</v>
      </c>
      <c r="O54" s="3">
        <v>0.37230000000000002</v>
      </c>
      <c r="P54" s="3">
        <v>34.180300000000003</v>
      </c>
      <c r="Q54" s="3">
        <v>3.36</v>
      </c>
      <c r="R54" s="3">
        <v>308.82</v>
      </c>
      <c r="S54" s="3">
        <v>1.8769999999999998E-2</v>
      </c>
    </row>
    <row r="55" spans="1:19" x14ac:dyDescent="0.2">
      <c r="A55" s="3">
        <v>100</v>
      </c>
      <c r="B55" s="3">
        <v>17</v>
      </c>
      <c r="C55" s="3">
        <v>39</v>
      </c>
      <c r="D55" s="3">
        <v>450</v>
      </c>
      <c r="E55" s="3">
        <v>21</v>
      </c>
      <c r="F55" s="3">
        <v>32</v>
      </c>
      <c r="G55" s="3">
        <v>1E-3</v>
      </c>
      <c r="H55" s="3">
        <v>92.03</v>
      </c>
      <c r="I55" s="3">
        <v>91.96</v>
      </c>
      <c r="J55" s="3">
        <v>91.94</v>
      </c>
      <c r="K55" s="3">
        <v>91.94</v>
      </c>
      <c r="L55" s="3">
        <v>9.7199999999999995E-2</v>
      </c>
      <c r="M55" s="3">
        <v>157</v>
      </c>
      <c r="N55" s="3">
        <v>44618</v>
      </c>
      <c r="O55" s="3">
        <v>0.37230000000000002</v>
      </c>
      <c r="P55" s="3">
        <v>34.180300000000003</v>
      </c>
      <c r="Q55" s="3">
        <v>3.83</v>
      </c>
      <c r="R55" s="3">
        <v>351.69</v>
      </c>
      <c r="S55" s="3">
        <v>3.0800000000000001E-2</v>
      </c>
    </row>
    <row r="56" spans="1:19" x14ac:dyDescent="0.2">
      <c r="A56" s="3">
        <v>100</v>
      </c>
      <c r="B56" s="3">
        <v>17</v>
      </c>
      <c r="C56" s="3">
        <v>39</v>
      </c>
      <c r="D56" s="3">
        <v>450</v>
      </c>
      <c r="E56" s="3">
        <v>11</v>
      </c>
      <c r="F56" s="3">
        <v>32</v>
      </c>
      <c r="G56" s="3">
        <v>0.01</v>
      </c>
      <c r="H56" s="3">
        <v>88.8</v>
      </c>
      <c r="I56" s="3">
        <v>88.73</v>
      </c>
      <c r="J56" s="3">
        <v>88.67</v>
      </c>
      <c r="K56" s="3">
        <v>88.67</v>
      </c>
      <c r="L56" s="3">
        <v>0.125</v>
      </c>
      <c r="M56" s="3">
        <v>142</v>
      </c>
      <c r="N56" s="3">
        <v>23818</v>
      </c>
      <c r="O56" s="3">
        <v>0.37230000000000002</v>
      </c>
      <c r="P56" s="3">
        <v>34.180300000000003</v>
      </c>
      <c r="Q56" s="3">
        <v>2.98</v>
      </c>
      <c r="R56" s="3">
        <v>273.39999999999998</v>
      </c>
      <c r="S56" s="3">
        <v>1.485E-2</v>
      </c>
    </row>
    <row r="57" spans="1:19" x14ac:dyDescent="0.2">
      <c r="A57" s="3">
        <v>100</v>
      </c>
      <c r="B57" s="3">
        <v>17</v>
      </c>
      <c r="C57" s="3">
        <v>39</v>
      </c>
      <c r="D57" s="3">
        <v>450</v>
      </c>
      <c r="E57" s="3">
        <v>11</v>
      </c>
      <c r="F57" s="3">
        <v>32</v>
      </c>
      <c r="G57" s="3">
        <v>1E-3</v>
      </c>
      <c r="H57" s="3">
        <v>88.78</v>
      </c>
      <c r="I57" s="3">
        <v>88.67</v>
      </c>
      <c r="J57" s="3">
        <v>88.61</v>
      </c>
      <c r="K57" s="3">
        <v>88.62</v>
      </c>
      <c r="L57" s="3">
        <v>6.9400000000000003E-2</v>
      </c>
      <c r="M57" s="3">
        <v>154</v>
      </c>
      <c r="N57" s="3">
        <v>23818</v>
      </c>
      <c r="O57" s="3">
        <v>0.37230000000000002</v>
      </c>
      <c r="P57" s="3">
        <v>34.180300000000003</v>
      </c>
      <c r="Q57" s="3">
        <v>5.36</v>
      </c>
      <c r="R57" s="3">
        <v>492.37</v>
      </c>
      <c r="S57" s="3">
        <v>1.97E-3</v>
      </c>
    </row>
    <row r="58" spans="1:19" x14ac:dyDescent="0.2">
      <c r="A58" s="2">
        <v>200</v>
      </c>
      <c r="B58" s="2">
        <v>37</v>
      </c>
      <c r="C58" s="2">
        <v>23</v>
      </c>
      <c r="D58" s="2">
        <v>800</v>
      </c>
      <c r="E58" s="2">
        <v>91</v>
      </c>
      <c r="F58" s="2">
        <v>64</v>
      </c>
      <c r="G58" s="2">
        <v>1E-3</v>
      </c>
      <c r="H58" s="2">
        <v>96.17</v>
      </c>
      <c r="I58" s="2">
        <v>96.12</v>
      </c>
      <c r="J58" s="2">
        <v>96.15</v>
      </c>
      <c r="K58" s="2">
        <v>96.13</v>
      </c>
      <c r="L58" s="2">
        <v>0.30299999999999999</v>
      </c>
      <c r="M58" s="2">
        <v>175</v>
      </c>
      <c r="N58" s="2">
        <v>753162</v>
      </c>
      <c r="O58" s="2">
        <v>0.42730000000000001</v>
      </c>
      <c r="P58" s="2">
        <v>61.321300000000001</v>
      </c>
      <c r="Q58" s="2">
        <v>1.41</v>
      </c>
      <c r="R58" s="2">
        <v>202.37</v>
      </c>
      <c r="S58" s="2">
        <v>6.4999999999999997E-4</v>
      </c>
    </row>
    <row r="59" spans="1:19" x14ac:dyDescent="0.2">
      <c r="A59" s="2">
        <v>200</v>
      </c>
      <c r="B59" s="2">
        <v>37</v>
      </c>
      <c r="C59" s="2">
        <v>23</v>
      </c>
      <c r="D59" s="2">
        <v>800</v>
      </c>
      <c r="E59" s="2">
        <v>91</v>
      </c>
      <c r="F59" s="2">
        <v>64</v>
      </c>
      <c r="G59" s="2">
        <v>0.01</v>
      </c>
      <c r="H59" s="2">
        <v>95.84</v>
      </c>
      <c r="I59" s="2">
        <v>95.8</v>
      </c>
      <c r="J59" s="2">
        <v>95.82</v>
      </c>
      <c r="K59" s="2">
        <v>95.81</v>
      </c>
      <c r="L59" s="2">
        <v>0.30690000000000001</v>
      </c>
      <c r="M59" s="2">
        <v>163</v>
      </c>
      <c r="N59" s="2">
        <v>753162</v>
      </c>
      <c r="O59" s="2">
        <v>0.42730000000000001</v>
      </c>
      <c r="P59" s="2">
        <v>61.321300000000001</v>
      </c>
      <c r="Q59" s="2">
        <v>1.39</v>
      </c>
      <c r="R59" s="2">
        <v>199.83</v>
      </c>
      <c r="S59" s="2">
        <v>2.5200000000000001E-3</v>
      </c>
    </row>
    <row r="60" spans="1:19" x14ac:dyDescent="0.2">
      <c r="A60" s="2">
        <v>200</v>
      </c>
      <c r="B60" s="2">
        <v>37</v>
      </c>
      <c r="C60" s="2">
        <v>23</v>
      </c>
      <c r="D60" s="2">
        <v>800</v>
      </c>
      <c r="E60" s="2">
        <v>81</v>
      </c>
      <c r="F60" s="2">
        <v>64</v>
      </c>
      <c r="G60" s="2">
        <v>0.01</v>
      </c>
      <c r="H60" s="2">
        <v>96.01</v>
      </c>
      <c r="I60" s="2">
        <v>95.97</v>
      </c>
      <c r="J60" s="2">
        <v>95.99</v>
      </c>
      <c r="K60" s="2">
        <v>95.98</v>
      </c>
      <c r="L60" s="2">
        <v>0.28299999999999997</v>
      </c>
      <c r="M60" s="2">
        <v>246</v>
      </c>
      <c r="N60" s="2">
        <v>670602</v>
      </c>
      <c r="O60" s="2">
        <v>0.42730000000000001</v>
      </c>
      <c r="P60" s="2">
        <v>61.321300000000001</v>
      </c>
      <c r="Q60" s="2">
        <v>1.51</v>
      </c>
      <c r="R60" s="2">
        <v>216.69</v>
      </c>
      <c r="S60" s="2">
        <v>9.0000000000000006E-5</v>
      </c>
    </row>
    <row r="61" spans="1:19" x14ac:dyDescent="0.2">
      <c r="A61" s="2">
        <v>200</v>
      </c>
      <c r="B61" s="2">
        <v>37</v>
      </c>
      <c r="C61" s="2">
        <v>23</v>
      </c>
      <c r="D61" s="2">
        <v>800</v>
      </c>
      <c r="E61" s="2">
        <v>81</v>
      </c>
      <c r="F61" s="2">
        <v>64</v>
      </c>
      <c r="G61" s="2">
        <v>1E-3</v>
      </c>
      <c r="H61" s="2">
        <v>95.93</v>
      </c>
      <c r="I61" s="2">
        <v>95.88</v>
      </c>
      <c r="J61" s="2">
        <v>95.92</v>
      </c>
      <c r="K61" s="2">
        <v>95.9</v>
      </c>
      <c r="L61" s="2">
        <v>0.28299999999999997</v>
      </c>
      <c r="M61" s="2">
        <v>151</v>
      </c>
      <c r="N61" s="2">
        <v>670602</v>
      </c>
      <c r="O61" s="2">
        <v>0.42730000000000001</v>
      </c>
      <c r="P61" s="2">
        <v>61.321300000000001</v>
      </c>
      <c r="Q61" s="2">
        <v>1.51</v>
      </c>
      <c r="R61" s="2">
        <v>216.67</v>
      </c>
      <c r="S61" s="2">
        <v>1.1E-4</v>
      </c>
    </row>
    <row r="62" spans="1:19" x14ac:dyDescent="0.2">
      <c r="A62" s="2">
        <v>200</v>
      </c>
      <c r="B62" s="2">
        <v>37</v>
      </c>
      <c r="C62" s="2">
        <v>23</v>
      </c>
      <c r="D62" s="2">
        <v>800</v>
      </c>
      <c r="E62" s="2">
        <v>71</v>
      </c>
      <c r="F62" s="2">
        <v>64</v>
      </c>
      <c r="G62" s="2">
        <v>0.01</v>
      </c>
      <c r="H62" s="2">
        <v>96.02</v>
      </c>
      <c r="I62" s="2">
        <v>95.98</v>
      </c>
      <c r="J62" s="2">
        <v>96</v>
      </c>
      <c r="K62" s="2">
        <v>95.99</v>
      </c>
      <c r="L62" s="2">
        <v>0.25769999999999998</v>
      </c>
      <c r="M62" s="2">
        <v>138</v>
      </c>
      <c r="N62" s="2">
        <v>588042</v>
      </c>
      <c r="O62" s="2">
        <v>0.42730000000000001</v>
      </c>
      <c r="P62" s="2">
        <v>61.321300000000001</v>
      </c>
      <c r="Q62" s="2">
        <v>1.66</v>
      </c>
      <c r="R62" s="2">
        <v>237.91</v>
      </c>
      <c r="S62" s="2">
        <v>4.4000000000000002E-4</v>
      </c>
    </row>
    <row r="63" spans="1:19" x14ac:dyDescent="0.2">
      <c r="A63" s="2">
        <v>200</v>
      </c>
      <c r="B63" s="2">
        <v>37</v>
      </c>
      <c r="C63" s="2">
        <v>23</v>
      </c>
      <c r="D63" s="2">
        <v>800</v>
      </c>
      <c r="E63" s="2">
        <v>71</v>
      </c>
      <c r="F63" s="2">
        <v>64</v>
      </c>
      <c r="G63" s="2">
        <v>1E-3</v>
      </c>
      <c r="H63" s="2">
        <v>96</v>
      </c>
      <c r="I63" s="2">
        <v>95.95</v>
      </c>
      <c r="J63" s="2">
        <v>96</v>
      </c>
      <c r="K63" s="2">
        <v>95.97</v>
      </c>
      <c r="L63" s="2">
        <v>0.25790000000000002</v>
      </c>
      <c r="M63" s="2">
        <v>139</v>
      </c>
      <c r="N63" s="2">
        <v>588042</v>
      </c>
      <c r="O63" s="2">
        <v>0.42730000000000001</v>
      </c>
      <c r="P63" s="2">
        <v>61.321300000000001</v>
      </c>
      <c r="Q63" s="2">
        <v>1.66</v>
      </c>
      <c r="R63" s="2">
        <v>237.76</v>
      </c>
      <c r="S63" s="2">
        <v>1.2E-4</v>
      </c>
    </row>
    <row r="64" spans="1:19" x14ac:dyDescent="0.2">
      <c r="A64" s="2">
        <v>200</v>
      </c>
      <c r="B64" s="2">
        <v>37</v>
      </c>
      <c r="C64" s="2">
        <v>23</v>
      </c>
      <c r="D64" s="2">
        <v>800</v>
      </c>
      <c r="E64" s="2">
        <v>41</v>
      </c>
      <c r="F64" s="2">
        <v>64</v>
      </c>
      <c r="G64" s="2">
        <v>1E-3</v>
      </c>
      <c r="H64" s="2">
        <v>95.71</v>
      </c>
      <c r="I64" s="2">
        <v>95.66</v>
      </c>
      <c r="J64" s="2">
        <v>95.7</v>
      </c>
      <c r="K64" s="2">
        <v>95.67</v>
      </c>
      <c r="L64" s="2">
        <v>0.1658</v>
      </c>
      <c r="M64" s="2">
        <v>102</v>
      </c>
      <c r="N64" s="2">
        <v>340362</v>
      </c>
      <c r="O64" s="2">
        <v>0.42730000000000001</v>
      </c>
      <c r="P64" s="2">
        <v>61.321300000000001</v>
      </c>
      <c r="Q64" s="2">
        <v>2.58</v>
      </c>
      <c r="R64" s="2">
        <v>369.74</v>
      </c>
      <c r="S64" s="2">
        <v>1.8000000000000001E-4</v>
      </c>
    </row>
    <row r="65" spans="1:19" x14ac:dyDescent="0.2">
      <c r="A65" s="2">
        <v>200</v>
      </c>
      <c r="B65" s="2">
        <v>37</v>
      </c>
      <c r="C65" s="2">
        <v>23</v>
      </c>
      <c r="D65" s="2">
        <v>800</v>
      </c>
      <c r="E65" s="2">
        <v>41</v>
      </c>
      <c r="F65" s="2">
        <v>64</v>
      </c>
      <c r="G65" s="2">
        <v>0.01</v>
      </c>
      <c r="H65" s="2">
        <v>95.6</v>
      </c>
      <c r="I65" s="2">
        <v>95.56</v>
      </c>
      <c r="J65" s="2">
        <v>95.57</v>
      </c>
      <c r="K65" s="2">
        <v>95.56</v>
      </c>
      <c r="L65" s="2">
        <v>0.1658</v>
      </c>
      <c r="M65" s="2">
        <v>119</v>
      </c>
      <c r="N65" s="2">
        <v>340362</v>
      </c>
      <c r="O65" s="2">
        <v>0.42730000000000001</v>
      </c>
      <c r="P65" s="2">
        <v>61.321300000000001</v>
      </c>
      <c r="Q65" s="2">
        <v>2.58</v>
      </c>
      <c r="R65" s="2">
        <v>369.92</v>
      </c>
      <c r="S65" s="2">
        <v>2.5000000000000001E-4</v>
      </c>
    </row>
    <row r="66" spans="1:19" x14ac:dyDescent="0.2">
      <c r="A66" s="2">
        <v>200</v>
      </c>
      <c r="B66" s="2">
        <v>37</v>
      </c>
      <c r="C66" s="2">
        <v>23</v>
      </c>
      <c r="D66" s="2">
        <v>800</v>
      </c>
      <c r="E66" s="2">
        <v>31</v>
      </c>
      <c r="F66" s="2">
        <v>64</v>
      </c>
      <c r="G66" s="2">
        <v>1E-3</v>
      </c>
      <c r="H66" s="2">
        <v>95.61</v>
      </c>
      <c r="I66" s="2">
        <v>95.56</v>
      </c>
      <c r="J66" s="2">
        <v>95.58</v>
      </c>
      <c r="K66" s="2">
        <v>95.57</v>
      </c>
      <c r="L66" s="2">
        <v>0.11219999999999999</v>
      </c>
      <c r="M66" s="2">
        <v>153</v>
      </c>
      <c r="N66" s="2">
        <v>257802</v>
      </c>
      <c r="O66" s="2">
        <v>0.42730000000000001</v>
      </c>
      <c r="P66" s="2">
        <v>61.321300000000001</v>
      </c>
      <c r="Q66" s="2">
        <v>3.81</v>
      </c>
      <c r="R66" s="2">
        <v>546.63</v>
      </c>
      <c r="S66" s="2">
        <v>1.5399999999999999E-3</v>
      </c>
    </row>
    <row r="67" spans="1:19" x14ac:dyDescent="0.2">
      <c r="A67" s="2">
        <v>200</v>
      </c>
      <c r="B67" s="2">
        <v>37</v>
      </c>
      <c r="C67" s="2">
        <v>23</v>
      </c>
      <c r="D67" s="2">
        <v>800</v>
      </c>
      <c r="E67" s="2">
        <v>31</v>
      </c>
      <c r="F67" s="2">
        <v>64</v>
      </c>
      <c r="G67" s="2">
        <v>0.01</v>
      </c>
      <c r="H67" s="2">
        <v>95.55</v>
      </c>
      <c r="I67" s="2">
        <v>95.52</v>
      </c>
      <c r="J67" s="2">
        <v>95.52</v>
      </c>
      <c r="K67" s="2">
        <v>95.52</v>
      </c>
      <c r="L67" s="2">
        <v>0.1139</v>
      </c>
      <c r="M67" s="2">
        <v>110</v>
      </c>
      <c r="N67" s="2">
        <v>257802</v>
      </c>
      <c r="O67" s="2">
        <v>0.42730000000000001</v>
      </c>
      <c r="P67" s="2">
        <v>61.321300000000001</v>
      </c>
      <c r="Q67" s="2">
        <v>3.75</v>
      </c>
      <c r="R67" s="2">
        <v>538.42999999999995</v>
      </c>
      <c r="S67" s="2">
        <v>5.5999999999999995E-4</v>
      </c>
    </row>
    <row r="68" spans="1:19" x14ac:dyDescent="0.2">
      <c r="A68" s="2">
        <v>200</v>
      </c>
      <c r="B68" s="2">
        <v>37</v>
      </c>
      <c r="C68" s="2">
        <v>23</v>
      </c>
      <c r="D68" s="2">
        <v>800</v>
      </c>
      <c r="E68" s="2">
        <v>21</v>
      </c>
      <c r="F68" s="2">
        <v>64</v>
      </c>
      <c r="G68" s="2">
        <v>1E-3</v>
      </c>
      <c r="H68" s="2">
        <v>94.75</v>
      </c>
      <c r="I68" s="2">
        <v>94.7</v>
      </c>
      <c r="J68" s="2">
        <v>94.72</v>
      </c>
      <c r="K68" s="2">
        <v>94.7</v>
      </c>
      <c r="L68" s="2">
        <v>8.6199999999999999E-2</v>
      </c>
      <c r="M68" s="2">
        <v>139</v>
      </c>
      <c r="N68" s="2">
        <v>175242</v>
      </c>
      <c r="O68" s="2">
        <v>0.42730000000000001</v>
      </c>
      <c r="P68" s="2">
        <v>61.321300000000001</v>
      </c>
      <c r="Q68" s="2">
        <v>4.96</v>
      </c>
      <c r="R68" s="2">
        <v>711.47</v>
      </c>
      <c r="S68" s="2">
        <v>1.65E-3</v>
      </c>
    </row>
    <row r="69" spans="1:19" x14ac:dyDescent="0.2">
      <c r="A69" s="2">
        <v>200</v>
      </c>
      <c r="B69" s="2">
        <v>37</v>
      </c>
      <c r="C69" s="2">
        <v>23</v>
      </c>
      <c r="D69" s="2">
        <v>800</v>
      </c>
      <c r="E69" s="2">
        <v>21</v>
      </c>
      <c r="F69" s="2">
        <v>64</v>
      </c>
      <c r="G69" s="2">
        <v>0.01</v>
      </c>
      <c r="H69" s="2">
        <v>94.63</v>
      </c>
      <c r="I69" s="2">
        <v>94.63</v>
      </c>
      <c r="J69" s="2">
        <v>94.58</v>
      </c>
      <c r="K69" s="2">
        <v>94.59</v>
      </c>
      <c r="L69" s="2">
        <v>0.1</v>
      </c>
      <c r="M69" s="2">
        <v>145</v>
      </c>
      <c r="N69" s="2">
        <v>175242</v>
      </c>
      <c r="O69" s="2">
        <v>0.42730000000000001</v>
      </c>
      <c r="P69" s="2">
        <v>61.321300000000001</v>
      </c>
      <c r="Q69" s="2">
        <v>4.2699999999999996</v>
      </c>
      <c r="R69" s="2">
        <v>613.09</v>
      </c>
      <c r="S69" s="2">
        <v>1.3820000000000001E-2</v>
      </c>
    </row>
    <row r="70" spans="1:19" x14ac:dyDescent="0.2">
      <c r="A70" s="2">
        <v>200</v>
      </c>
      <c r="B70" s="2">
        <v>37</v>
      </c>
      <c r="C70" s="2">
        <v>23</v>
      </c>
      <c r="D70" s="2">
        <v>800</v>
      </c>
      <c r="E70" s="2">
        <v>11</v>
      </c>
      <c r="F70" s="2">
        <v>64</v>
      </c>
      <c r="G70" s="2">
        <v>1E-3</v>
      </c>
      <c r="H70" s="2">
        <v>91.01</v>
      </c>
      <c r="I70" s="2">
        <v>90.95</v>
      </c>
      <c r="J70" s="2">
        <v>90.94</v>
      </c>
      <c r="K70" s="2">
        <v>90.94</v>
      </c>
      <c r="L70" s="2">
        <v>6.9400000000000003E-2</v>
      </c>
      <c r="M70" s="2">
        <v>162</v>
      </c>
      <c r="N70" s="2">
        <v>92682</v>
      </c>
      <c r="O70" s="2">
        <v>0.42730000000000001</v>
      </c>
      <c r="P70" s="2">
        <v>61.321300000000001</v>
      </c>
      <c r="Q70" s="2">
        <v>6.16</v>
      </c>
      <c r="R70" s="2">
        <v>883.85</v>
      </c>
      <c r="S70" s="2">
        <v>5.5999999999999995E-4</v>
      </c>
    </row>
    <row r="71" spans="1:19" x14ac:dyDescent="0.2">
      <c r="A71" s="2">
        <v>200</v>
      </c>
      <c r="B71" s="2">
        <v>37</v>
      </c>
      <c r="C71" s="2">
        <v>23</v>
      </c>
      <c r="D71" s="2">
        <v>800</v>
      </c>
      <c r="E71" s="2">
        <v>11</v>
      </c>
      <c r="F71" s="2">
        <v>64</v>
      </c>
      <c r="G71" s="2">
        <v>0.01</v>
      </c>
      <c r="H71" s="2">
        <v>90.57</v>
      </c>
      <c r="I71" s="2">
        <v>90.53</v>
      </c>
      <c r="J71" s="2">
        <v>90.52</v>
      </c>
      <c r="K71" s="2">
        <v>90.5</v>
      </c>
      <c r="L71" s="2">
        <v>7.6600000000000001E-2</v>
      </c>
      <c r="M71" s="2">
        <v>161</v>
      </c>
      <c r="N71" s="2">
        <v>92682</v>
      </c>
      <c r="O71" s="2">
        <v>0.42730000000000001</v>
      </c>
      <c r="P71" s="2">
        <v>61.321300000000001</v>
      </c>
      <c r="Q71" s="2">
        <v>5.58</v>
      </c>
      <c r="R71" s="2">
        <v>800.75</v>
      </c>
      <c r="S71" s="2">
        <v>1.3600000000000001E-3</v>
      </c>
    </row>
    <row r="72" spans="1:19" x14ac:dyDescent="0.2">
      <c r="A72" s="2">
        <v>200</v>
      </c>
      <c r="B72" s="2">
        <v>37</v>
      </c>
      <c r="C72" s="2">
        <v>23</v>
      </c>
      <c r="D72" s="2">
        <v>800</v>
      </c>
      <c r="E72" s="2">
        <v>91</v>
      </c>
      <c r="F72" s="2">
        <v>32</v>
      </c>
      <c r="G72" s="2">
        <v>1E-3</v>
      </c>
      <c r="H72" s="2">
        <v>95.91</v>
      </c>
      <c r="I72" s="2">
        <v>95.86</v>
      </c>
      <c r="J72" s="2">
        <v>95.9</v>
      </c>
      <c r="K72" s="2">
        <v>95.87</v>
      </c>
      <c r="L72" s="2">
        <v>0.17549999999999999</v>
      </c>
      <c r="M72" s="2">
        <v>108</v>
      </c>
      <c r="N72" s="2">
        <v>190218</v>
      </c>
      <c r="O72" s="2">
        <v>0.42730000000000001</v>
      </c>
      <c r="P72" s="2">
        <v>61.321300000000001</v>
      </c>
      <c r="Q72" s="2">
        <v>2.4300000000000002</v>
      </c>
      <c r="R72" s="2">
        <v>349.33</v>
      </c>
      <c r="S72" s="2">
        <v>2.7999999999999998E-4</v>
      </c>
    </row>
    <row r="73" spans="1:19" x14ac:dyDescent="0.2">
      <c r="A73" s="2">
        <v>200</v>
      </c>
      <c r="B73" s="2">
        <v>37</v>
      </c>
      <c r="C73" s="2">
        <v>23</v>
      </c>
      <c r="D73" s="2">
        <v>800</v>
      </c>
      <c r="E73" s="2">
        <v>91</v>
      </c>
      <c r="F73" s="2">
        <v>32</v>
      </c>
      <c r="G73" s="2">
        <v>0.01</v>
      </c>
      <c r="H73" s="2">
        <v>95.62</v>
      </c>
      <c r="I73" s="2">
        <v>95.57</v>
      </c>
      <c r="J73" s="2">
        <v>95.59</v>
      </c>
      <c r="K73" s="2">
        <v>95.57</v>
      </c>
      <c r="L73" s="2">
        <v>0.1759</v>
      </c>
      <c r="M73" s="2">
        <v>91</v>
      </c>
      <c r="N73" s="2">
        <v>190218</v>
      </c>
      <c r="O73" s="2">
        <v>0.42730000000000001</v>
      </c>
      <c r="P73" s="2">
        <v>61.321300000000001</v>
      </c>
      <c r="Q73" s="2">
        <v>2.4300000000000002</v>
      </c>
      <c r="R73" s="2">
        <v>348.65</v>
      </c>
      <c r="S73" s="2">
        <v>2.2000000000000001E-4</v>
      </c>
    </row>
    <row r="74" spans="1:19" x14ac:dyDescent="0.2">
      <c r="A74" s="2">
        <v>200</v>
      </c>
      <c r="B74" s="2">
        <v>37</v>
      </c>
      <c r="C74" s="2">
        <v>23</v>
      </c>
      <c r="D74" s="2">
        <v>800</v>
      </c>
      <c r="E74" s="2">
        <v>81</v>
      </c>
      <c r="F74" s="2">
        <v>32</v>
      </c>
      <c r="G74" s="2">
        <v>0.01</v>
      </c>
      <c r="H74" s="2">
        <v>95.82</v>
      </c>
      <c r="I74" s="2">
        <v>95.78</v>
      </c>
      <c r="J74" s="2">
        <v>95.8</v>
      </c>
      <c r="K74" s="2">
        <v>95.78</v>
      </c>
      <c r="L74" s="2">
        <v>0.1522</v>
      </c>
      <c r="M74" s="2">
        <v>93</v>
      </c>
      <c r="N74" s="2">
        <v>169418</v>
      </c>
      <c r="O74" s="2">
        <v>0.42730000000000001</v>
      </c>
      <c r="P74" s="2">
        <v>61.321300000000001</v>
      </c>
      <c r="Q74" s="2">
        <v>2.81</v>
      </c>
      <c r="R74" s="2">
        <v>402.9</v>
      </c>
      <c r="S74" s="2">
        <v>6.0999999999999997E-4</v>
      </c>
    </row>
    <row r="75" spans="1:19" x14ac:dyDescent="0.2">
      <c r="A75" s="2">
        <v>200</v>
      </c>
      <c r="B75" s="2">
        <v>37</v>
      </c>
      <c r="C75" s="2">
        <v>23</v>
      </c>
      <c r="D75" s="2">
        <v>800</v>
      </c>
      <c r="E75" s="2">
        <v>81</v>
      </c>
      <c r="F75" s="2">
        <v>32</v>
      </c>
      <c r="G75" s="2">
        <v>1E-3</v>
      </c>
      <c r="H75" s="2">
        <v>95.74</v>
      </c>
      <c r="I75" s="2">
        <v>95.7</v>
      </c>
      <c r="J75" s="2">
        <v>95.71</v>
      </c>
      <c r="K75" s="2">
        <v>95.71</v>
      </c>
      <c r="L75" s="2">
        <v>0.15210000000000001</v>
      </c>
      <c r="M75" s="2">
        <v>106</v>
      </c>
      <c r="N75" s="2">
        <v>169418</v>
      </c>
      <c r="O75" s="2">
        <v>0.42730000000000001</v>
      </c>
      <c r="P75" s="2">
        <v>61.321300000000001</v>
      </c>
      <c r="Q75" s="2">
        <v>2.81</v>
      </c>
      <c r="R75" s="2">
        <v>403.09</v>
      </c>
      <c r="S75" s="2">
        <v>1.1E-4</v>
      </c>
    </row>
    <row r="76" spans="1:19" x14ac:dyDescent="0.2">
      <c r="A76" s="2">
        <v>200</v>
      </c>
      <c r="B76" s="2">
        <v>37</v>
      </c>
      <c r="C76" s="2">
        <v>23</v>
      </c>
      <c r="D76" s="2">
        <v>800</v>
      </c>
      <c r="E76" s="2">
        <v>71</v>
      </c>
      <c r="F76" s="2">
        <v>32</v>
      </c>
      <c r="G76" s="2">
        <v>1E-3</v>
      </c>
      <c r="H76" s="2">
        <v>95.95</v>
      </c>
      <c r="I76" s="2">
        <v>95.9</v>
      </c>
      <c r="J76" s="2">
        <v>95.92</v>
      </c>
      <c r="K76" s="2">
        <v>95.91</v>
      </c>
      <c r="L76" s="2">
        <v>0.13089999999999999</v>
      </c>
      <c r="M76" s="2">
        <v>125</v>
      </c>
      <c r="N76" s="2">
        <v>148618</v>
      </c>
      <c r="O76" s="2">
        <v>0.42730000000000001</v>
      </c>
      <c r="P76" s="2">
        <v>61.321300000000001</v>
      </c>
      <c r="Q76" s="2">
        <v>3.26</v>
      </c>
      <c r="R76" s="2">
        <v>468.39</v>
      </c>
      <c r="S76" s="2">
        <v>4.0000000000000002E-4</v>
      </c>
    </row>
    <row r="77" spans="1:19" x14ac:dyDescent="0.2">
      <c r="A77" s="2">
        <v>200</v>
      </c>
      <c r="B77" s="2">
        <v>37</v>
      </c>
      <c r="C77" s="2">
        <v>23</v>
      </c>
      <c r="D77" s="2">
        <v>800</v>
      </c>
      <c r="E77" s="2">
        <v>71</v>
      </c>
      <c r="F77" s="2">
        <v>32</v>
      </c>
      <c r="G77" s="2">
        <v>0.01</v>
      </c>
      <c r="H77" s="2">
        <v>95.79</v>
      </c>
      <c r="I77" s="2">
        <v>95.76</v>
      </c>
      <c r="J77" s="2">
        <v>95.75</v>
      </c>
      <c r="K77" s="2">
        <v>95.75</v>
      </c>
      <c r="L77" s="2">
        <v>0.1308</v>
      </c>
      <c r="M77" s="2">
        <v>88</v>
      </c>
      <c r="N77" s="2">
        <v>148618</v>
      </c>
      <c r="O77" s="2">
        <v>0.42730000000000001</v>
      </c>
      <c r="P77" s="2">
        <v>61.321300000000001</v>
      </c>
      <c r="Q77" s="2">
        <v>3.27</v>
      </c>
      <c r="R77" s="2">
        <v>468.82</v>
      </c>
      <c r="S77" s="2">
        <v>4.0000000000000002E-4</v>
      </c>
    </row>
    <row r="78" spans="1:19" x14ac:dyDescent="0.2">
      <c r="A78" s="2">
        <v>200</v>
      </c>
      <c r="B78" s="2">
        <v>37</v>
      </c>
      <c r="C78" s="2">
        <v>23</v>
      </c>
      <c r="D78" s="2">
        <v>800</v>
      </c>
      <c r="E78" s="2">
        <v>41</v>
      </c>
      <c r="F78" s="2">
        <v>32</v>
      </c>
      <c r="G78" s="2">
        <v>1E-3</v>
      </c>
      <c r="H78" s="2">
        <v>95.41</v>
      </c>
      <c r="I78" s="2">
        <v>95.38</v>
      </c>
      <c r="J78" s="2">
        <v>95.38</v>
      </c>
      <c r="K78" s="2">
        <v>95.37</v>
      </c>
      <c r="L78" s="2">
        <v>8.9499999999999996E-2</v>
      </c>
      <c r="M78" s="2">
        <v>79</v>
      </c>
      <c r="N78" s="2">
        <v>86218</v>
      </c>
      <c r="O78" s="2">
        <v>0.42730000000000001</v>
      </c>
      <c r="P78" s="2">
        <v>61.321300000000001</v>
      </c>
      <c r="Q78" s="2">
        <v>4.7699999999999996</v>
      </c>
      <c r="R78" s="2">
        <v>684.93</v>
      </c>
      <c r="S78" s="2">
        <v>1.37E-2</v>
      </c>
    </row>
    <row r="79" spans="1:19" x14ac:dyDescent="0.2">
      <c r="A79" s="2">
        <v>200</v>
      </c>
      <c r="B79" s="2">
        <v>37</v>
      </c>
      <c r="C79" s="2">
        <v>23</v>
      </c>
      <c r="D79" s="2">
        <v>800</v>
      </c>
      <c r="E79" s="2">
        <v>41</v>
      </c>
      <c r="F79" s="2">
        <v>32</v>
      </c>
      <c r="G79" s="2">
        <v>0.01</v>
      </c>
      <c r="H79" s="2">
        <v>95.39</v>
      </c>
      <c r="I79" s="2">
        <v>95.36</v>
      </c>
      <c r="J79" s="2">
        <v>95.35</v>
      </c>
      <c r="K79" s="2">
        <v>95.35</v>
      </c>
      <c r="L79" s="2">
        <v>8.7400000000000005E-2</v>
      </c>
      <c r="M79" s="2">
        <v>83</v>
      </c>
      <c r="N79" s="2">
        <v>86218</v>
      </c>
      <c r="O79" s="2">
        <v>0.42730000000000001</v>
      </c>
      <c r="P79" s="2">
        <v>61.321300000000001</v>
      </c>
      <c r="Q79" s="2">
        <v>4.8899999999999997</v>
      </c>
      <c r="R79" s="2">
        <v>701.46</v>
      </c>
      <c r="S79" s="2">
        <v>1.2500000000000001E-2</v>
      </c>
    </row>
    <row r="80" spans="1:19" x14ac:dyDescent="0.2">
      <c r="A80" s="2">
        <v>200</v>
      </c>
      <c r="B80" s="2">
        <v>37</v>
      </c>
      <c r="C80" s="2">
        <v>23</v>
      </c>
      <c r="D80" s="2">
        <v>800</v>
      </c>
      <c r="E80" s="2">
        <v>31</v>
      </c>
      <c r="F80" s="2">
        <v>32</v>
      </c>
      <c r="G80" s="2">
        <v>0.01</v>
      </c>
      <c r="H80" s="2">
        <v>95.44</v>
      </c>
      <c r="I80" s="2">
        <v>95.38</v>
      </c>
      <c r="J80" s="2">
        <v>95.42</v>
      </c>
      <c r="K80" s="2">
        <v>95.39</v>
      </c>
      <c r="L80" s="2">
        <v>0.12790000000000001</v>
      </c>
      <c r="M80" s="2">
        <v>126</v>
      </c>
      <c r="N80" s="2">
        <v>65418</v>
      </c>
      <c r="O80" s="2">
        <v>0.42730000000000001</v>
      </c>
      <c r="P80" s="2">
        <v>61.321300000000001</v>
      </c>
      <c r="Q80" s="2">
        <v>3.34</v>
      </c>
      <c r="R80" s="2">
        <v>479.3</v>
      </c>
      <c r="S80" s="2">
        <v>5.9100000000000003E-3</v>
      </c>
    </row>
    <row r="81" spans="1:19" x14ac:dyDescent="0.2">
      <c r="A81" s="2">
        <v>200</v>
      </c>
      <c r="B81" s="2">
        <v>37</v>
      </c>
      <c r="C81" s="2">
        <v>23</v>
      </c>
      <c r="D81" s="2">
        <v>800</v>
      </c>
      <c r="E81" s="2">
        <v>31</v>
      </c>
      <c r="F81" s="2">
        <v>32</v>
      </c>
      <c r="G81" s="2">
        <v>1E-3</v>
      </c>
      <c r="H81" s="2">
        <v>95.21</v>
      </c>
      <c r="I81" s="2">
        <v>95.17</v>
      </c>
      <c r="J81" s="2">
        <v>95.17</v>
      </c>
      <c r="K81" s="2">
        <v>95.17</v>
      </c>
      <c r="L81" s="2">
        <v>7.0499999999999993E-2</v>
      </c>
      <c r="M81" s="2">
        <v>150</v>
      </c>
      <c r="N81" s="2">
        <v>65418</v>
      </c>
      <c r="O81" s="2">
        <v>0.42730000000000001</v>
      </c>
      <c r="P81" s="2">
        <v>61.321300000000001</v>
      </c>
      <c r="Q81" s="2">
        <v>6.07</v>
      </c>
      <c r="R81" s="2">
        <v>870.3</v>
      </c>
      <c r="S81" s="2">
        <v>9.0000000000000006E-5</v>
      </c>
    </row>
    <row r="82" spans="1:19" x14ac:dyDescent="0.2">
      <c r="A82" s="2">
        <v>200</v>
      </c>
      <c r="B82" s="2">
        <v>37</v>
      </c>
      <c r="C82" s="2">
        <v>23</v>
      </c>
      <c r="D82" s="2">
        <v>800</v>
      </c>
      <c r="E82" s="2">
        <v>21</v>
      </c>
      <c r="F82" s="2">
        <v>32</v>
      </c>
      <c r="G82" s="2">
        <v>0.01</v>
      </c>
      <c r="H82" s="2">
        <v>94.49</v>
      </c>
      <c r="I82" s="2">
        <v>94.46</v>
      </c>
      <c r="J82" s="2">
        <v>94.44</v>
      </c>
      <c r="K82" s="2">
        <v>94.44</v>
      </c>
      <c r="L82" s="2">
        <v>9.6799999999999997E-2</v>
      </c>
      <c r="M82" s="2">
        <v>151</v>
      </c>
      <c r="N82" s="2">
        <v>44618</v>
      </c>
      <c r="O82" s="2">
        <v>0.42730000000000001</v>
      </c>
      <c r="P82" s="2">
        <v>61.321300000000001</v>
      </c>
      <c r="Q82" s="2">
        <v>4.41</v>
      </c>
      <c r="R82" s="2">
        <v>633.41999999999996</v>
      </c>
      <c r="S82" s="2">
        <v>3.0519999999999999E-2</v>
      </c>
    </row>
    <row r="83" spans="1:19" x14ac:dyDescent="0.2">
      <c r="A83" s="2">
        <v>200</v>
      </c>
      <c r="B83" s="2">
        <v>37</v>
      </c>
      <c r="C83" s="2">
        <v>23</v>
      </c>
      <c r="D83" s="2">
        <v>800</v>
      </c>
      <c r="E83" s="2">
        <v>21</v>
      </c>
      <c r="F83" s="2">
        <v>32</v>
      </c>
      <c r="G83" s="2">
        <v>1E-3</v>
      </c>
      <c r="H83" s="2">
        <v>94.1</v>
      </c>
      <c r="I83" s="2">
        <v>94.05</v>
      </c>
      <c r="J83" s="2">
        <v>94.08</v>
      </c>
      <c r="K83" s="2">
        <v>94.06</v>
      </c>
      <c r="L83" s="2">
        <v>0.12230000000000001</v>
      </c>
      <c r="M83" s="2">
        <v>149</v>
      </c>
      <c r="N83" s="2">
        <v>44618</v>
      </c>
      <c r="O83" s="2">
        <v>0.42730000000000001</v>
      </c>
      <c r="P83" s="2">
        <v>61.321300000000001</v>
      </c>
      <c r="Q83" s="2">
        <v>3.49</v>
      </c>
      <c r="R83" s="2">
        <v>501.48</v>
      </c>
      <c r="S83" s="2">
        <v>2.4119999999999999E-2</v>
      </c>
    </row>
    <row r="84" spans="1:19" x14ac:dyDescent="0.2">
      <c r="A84" s="2">
        <v>200</v>
      </c>
      <c r="B84" s="2">
        <v>37</v>
      </c>
      <c r="C84" s="2">
        <v>23</v>
      </c>
      <c r="D84" s="2">
        <v>800</v>
      </c>
      <c r="E84" s="2">
        <v>11</v>
      </c>
      <c r="F84" s="2">
        <v>32</v>
      </c>
      <c r="G84" s="2">
        <v>1E-3</v>
      </c>
      <c r="H84" s="2">
        <v>90.12</v>
      </c>
      <c r="I84" s="2">
        <v>90.05</v>
      </c>
      <c r="J84" s="2">
        <v>90.04</v>
      </c>
      <c r="K84" s="2">
        <v>90.03</v>
      </c>
      <c r="L84" s="2">
        <v>7.7799999999999994E-2</v>
      </c>
      <c r="M84" s="2">
        <v>152</v>
      </c>
      <c r="N84" s="2">
        <v>23818</v>
      </c>
      <c r="O84" s="2">
        <v>0.42730000000000001</v>
      </c>
      <c r="P84" s="2">
        <v>61.321300000000001</v>
      </c>
      <c r="Q84" s="2">
        <v>5.49</v>
      </c>
      <c r="R84" s="2">
        <v>788.09</v>
      </c>
      <c r="S84" s="2">
        <v>2.3800000000000002E-3</v>
      </c>
    </row>
    <row r="85" spans="1:19" x14ac:dyDescent="0.2">
      <c r="A85" s="2">
        <v>200</v>
      </c>
      <c r="B85" s="2">
        <v>37</v>
      </c>
      <c r="C85" s="2">
        <v>23</v>
      </c>
      <c r="D85" s="2">
        <v>800</v>
      </c>
      <c r="E85" s="2">
        <v>11</v>
      </c>
      <c r="F85" s="2">
        <v>32</v>
      </c>
      <c r="G85" s="2">
        <v>0.01</v>
      </c>
      <c r="H85" s="2">
        <v>89.93</v>
      </c>
      <c r="I85" s="2">
        <v>89.97</v>
      </c>
      <c r="J85" s="2">
        <v>89.87</v>
      </c>
      <c r="K85" s="2">
        <v>89.88</v>
      </c>
      <c r="L85" s="2">
        <v>7.1400000000000005E-2</v>
      </c>
      <c r="M85" s="2">
        <v>152</v>
      </c>
      <c r="N85" s="2">
        <v>23818</v>
      </c>
      <c r="O85" s="2">
        <v>0.42730000000000001</v>
      </c>
      <c r="P85" s="2">
        <v>61.321300000000001</v>
      </c>
      <c r="Q85" s="2">
        <v>5.99</v>
      </c>
      <c r="R85" s="2">
        <v>858.96</v>
      </c>
      <c r="S85" s="2">
        <v>8.1999999999999998E-4</v>
      </c>
    </row>
    <row r="86" spans="1:19" x14ac:dyDescent="0.2">
      <c r="A86" s="1">
        <v>500</v>
      </c>
      <c r="B86" s="1">
        <v>39</v>
      </c>
      <c r="C86" s="1">
        <v>41</v>
      </c>
      <c r="D86" s="1">
        <v>1200</v>
      </c>
      <c r="E86" s="1">
        <v>91</v>
      </c>
      <c r="F86" s="1">
        <v>64</v>
      </c>
      <c r="G86" s="1">
        <v>1E-3</v>
      </c>
      <c r="H86" s="1">
        <v>98.6</v>
      </c>
      <c r="I86" s="1">
        <v>98.58</v>
      </c>
      <c r="J86" s="1">
        <v>98.59</v>
      </c>
      <c r="K86" s="1">
        <v>98.59</v>
      </c>
      <c r="L86" s="1">
        <v>0.68120000000000003</v>
      </c>
      <c r="M86" s="1">
        <v>559</v>
      </c>
      <c r="N86" s="1">
        <v>753162</v>
      </c>
      <c r="O86" s="1">
        <v>0.34139999999999998</v>
      </c>
      <c r="P86" s="1">
        <v>152.1019</v>
      </c>
      <c r="Q86" s="1">
        <v>0.5</v>
      </c>
      <c r="R86" s="1">
        <v>223.28</v>
      </c>
      <c r="S86" s="1">
        <v>6.4000000000000005E-4</v>
      </c>
    </row>
    <row r="87" spans="1:19" x14ac:dyDescent="0.2">
      <c r="A87" s="1">
        <v>500</v>
      </c>
      <c r="B87" s="1">
        <v>39</v>
      </c>
      <c r="C87" s="1">
        <v>41</v>
      </c>
      <c r="D87" s="1">
        <v>1200</v>
      </c>
      <c r="E87" s="1">
        <v>91</v>
      </c>
      <c r="F87" s="1">
        <v>64</v>
      </c>
      <c r="G87" s="1">
        <v>0.01</v>
      </c>
      <c r="H87" s="1">
        <v>98.29</v>
      </c>
      <c r="I87" s="1">
        <v>98.27</v>
      </c>
      <c r="J87" s="1">
        <v>98.27</v>
      </c>
      <c r="K87" s="1">
        <v>98.27</v>
      </c>
      <c r="L87" s="1">
        <v>0.69599999999999995</v>
      </c>
      <c r="M87" s="1">
        <v>403</v>
      </c>
      <c r="N87" s="1">
        <v>753162</v>
      </c>
      <c r="O87" s="1">
        <v>0.34139999999999998</v>
      </c>
      <c r="P87" s="1">
        <v>152.1019</v>
      </c>
      <c r="Q87" s="1">
        <v>0.49</v>
      </c>
      <c r="R87" s="1">
        <v>218.53</v>
      </c>
      <c r="S87" s="1">
        <v>8.0000000000000007E-5</v>
      </c>
    </row>
    <row r="88" spans="1:19" x14ac:dyDescent="0.2">
      <c r="A88" s="1">
        <v>500</v>
      </c>
      <c r="B88" s="1">
        <v>39</v>
      </c>
      <c r="C88" s="1">
        <v>41</v>
      </c>
      <c r="D88" s="1">
        <v>1200</v>
      </c>
      <c r="E88" s="1">
        <v>91</v>
      </c>
      <c r="F88" s="1">
        <v>32</v>
      </c>
      <c r="G88" s="1">
        <v>0.01</v>
      </c>
      <c r="H88" s="1">
        <v>98.35</v>
      </c>
      <c r="I88" s="1">
        <v>98.33</v>
      </c>
      <c r="J88" s="1">
        <v>98.34</v>
      </c>
      <c r="K88" s="1">
        <v>98.33</v>
      </c>
      <c r="L88" s="1">
        <v>0.3634</v>
      </c>
      <c r="M88" s="1">
        <v>172</v>
      </c>
      <c r="N88" s="1">
        <v>190218</v>
      </c>
      <c r="O88" s="1">
        <v>0.34139999999999998</v>
      </c>
      <c r="P88" s="1">
        <v>152.1019</v>
      </c>
      <c r="Q88" s="1">
        <v>0.94</v>
      </c>
      <c r="R88" s="1">
        <v>418.61</v>
      </c>
      <c r="S88" s="1">
        <v>2.0300000000000001E-3</v>
      </c>
    </row>
    <row r="89" spans="1:19" x14ac:dyDescent="0.2">
      <c r="A89" s="1">
        <v>500</v>
      </c>
      <c r="B89" s="1">
        <v>39</v>
      </c>
      <c r="C89" s="1">
        <v>41</v>
      </c>
      <c r="D89" s="1">
        <v>1200</v>
      </c>
      <c r="E89" s="1">
        <v>91</v>
      </c>
      <c r="F89" s="1">
        <v>32</v>
      </c>
      <c r="G89" s="1">
        <v>1E-3</v>
      </c>
      <c r="H89" s="1">
        <v>98.08</v>
      </c>
      <c r="I89" s="1">
        <v>98.06</v>
      </c>
      <c r="J89" s="1">
        <v>98.07</v>
      </c>
      <c r="K89" s="1">
        <v>98.06</v>
      </c>
      <c r="L89" s="1">
        <v>0.3755</v>
      </c>
      <c r="M89" s="1">
        <v>137</v>
      </c>
      <c r="N89" s="1">
        <v>190218</v>
      </c>
      <c r="O89" s="1">
        <v>0.34139999999999998</v>
      </c>
      <c r="P89" s="1">
        <v>152.1019</v>
      </c>
      <c r="Q89" s="1">
        <v>0.91</v>
      </c>
      <c r="R89" s="1">
        <v>405.02</v>
      </c>
      <c r="S89" s="1">
        <v>9.7999999999999997E-4</v>
      </c>
    </row>
    <row r="90" spans="1:19" x14ac:dyDescent="0.2">
      <c r="A90" s="1">
        <v>500</v>
      </c>
      <c r="B90" s="1">
        <v>39</v>
      </c>
      <c r="C90" s="1">
        <v>41</v>
      </c>
      <c r="D90" s="1">
        <v>1200</v>
      </c>
      <c r="E90" s="1">
        <v>81</v>
      </c>
      <c r="F90" s="1">
        <v>64</v>
      </c>
      <c r="G90" s="1">
        <v>0.01</v>
      </c>
      <c r="H90" s="1">
        <v>98.39</v>
      </c>
      <c r="I90" s="1">
        <v>98.38</v>
      </c>
      <c r="J90" s="1">
        <v>98.37</v>
      </c>
      <c r="K90" s="1">
        <v>98.37</v>
      </c>
      <c r="L90" s="1">
        <v>0.62909999999999999</v>
      </c>
      <c r="M90" s="1">
        <v>522</v>
      </c>
      <c r="N90" s="1">
        <v>670602</v>
      </c>
      <c r="O90" s="1">
        <v>0.34139999999999998</v>
      </c>
      <c r="P90" s="1">
        <v>152.1019</v>
      </c>
      <c r="Q90" s="1">
        <v>0.54</v>
      </c>
      <c r="R90" s="1">
        <v>241.76</v>
      </c>
      <c r="S90" s="1">
        <v>9.0000000000000006E-5</v>
      </c>
    </row>
    <row r="91" spans="1:19" x14ac:dyDescent="0.2">
      <c r="A91" s="1">
        <v>500</v>
      </c>
      <c r="B91" s="1">
        <v>39</v>
      </c>
      <c r="C91" s="1">
        <v>41</v>
      </c>
      <c r="D91" s="1">
        <v>1200</v>
      </c>
      <c r="E91" s="1">
        <v>81</v>
      </c>
      <c r="F91" s="1">
        <v>64</v>
      </c>
      <c r="G91" s="1">
        <v>1E-3</v>
      </c>
      <c r="H91" s="1">
        <v>98.25</v>
      </c>
      <c r="I91" s="1">
        <v>98.23</v>
      </c>
      <c r="J91" s="1">
        <v>98.24</v>
      </c>
      <c r="K91" s="1">
        <v>98.23</v>
      </c>
      <c r="L91" s="1">
        <v>0.62929999999999997</v>
      </c>
      <c r="M91" s="1">
        <v>270</v>
      </c>
      <c r="N91" s="1">
        <v>670602</v>
      </c>
      <c r="O91" s="1">
        <v>0.34139999999999998</v>
      </c>
      <c r="P91" s="1">
        <v>152.1019</v>
      </c>
      <c r="Q91" s="1">
        <v>0.54</v>
      </c>
      <c r="R91" s="1">
        <v>241.71</v>
      </c>
      <c r="S91" s="1">
        <v>3.0000000000000001E-5</v>
      </c>
    </row>
    <row r="92" spans="1:19" x14ac:dyDescent="0.2">
      <c r="A92" s="1">
        <v>500</v>
      </c>
      <c r="B92" s="1">
        <v>39</v>
      </c>
      <c r="C92" s="1">
        <v>41</v>
      </c>
      <c r="D92" s="1">
        <v>1200</v>
      </c>
      <c r="E92" s="1">
        <v>81</v>
      </c>
      <c r="F92" s="1">
        <v>32</v>
      </c>
      <c r="G92" s="1">
        <v>0.01</v>
      </c>
      <c r="H92" s="1">
        <v>98.27</v>
      </c>
      <c r="I92" s="1">
        <v>98.25</v>
      </c>
      <c r="J92" s="1">
        <v>98.25</v>
      </c>
      <c r="K92" s="1">
        <v>98.25</v>
      </c>
      <c r="L92" s="1">
        <v>0.3306</v>
      </c>
      <c r="M92" s="1">
        <v>217</v>
      </c>
      <c r="N92" s="1">
        <v>169418</v>
      </c>
      <c r="O92" s="1">
        <v>0.34139999999999998</v>
      </c>
      <c r="P92" s="1">
        <v>152.1019</v>
      </c>
      <c r="Q92" s="1">
        <v>1.03</v>
      </c>
      <c r="R92" s="1">
        <v>460.05</v>
      </c>
      <c r="S92" s="1">
        <v>1.5499999999999999E-3</v>
      </c>
    </row>
    <row r="93" spans="1:19" x14ac:dyDescent="0.2">
      <c r="A93" s="1">
        <v>500</v>
      </c>
      <c r="B93" s="1">
        <v>39</v>
      </c>
      <c r="C93" s="1">
        <v>41</v>
      </c>
      <c r="D93" s="1">
        <v>1200</v>
      </c>
      <c r="E93" s="1">
        <v>81</v>
      </c>
      <c r="F93" s="1">
        <v>32</v>
      </c>
      <c r="G93" s="1">
        <v>1E-3</v>
      </c>
      <c r="H93" s="1">
        <v>98.01</v>
      </c>
      <c r="I93" s="1">
        <v>98</v>
      </c>
      <c r="J93" s="1">
        <v>97.99</v>
      </c>
      <c r="K93" s="1">
        <v>98</v>
      </c>
      <c r="L93" s="1">
        <v>0.32890000000000003</v>
      </c>
      <c r="M93" s="1">
        <v>128</v>
      </c>
      <c r="N93" s="1">
        <v>169418</v>
      </c>
      <c r="O93" s="1">
        <v>0.34139999999999998</v>
      </c>
      <c r="P93" s="1">
        <v>152.1019</v>
      </c>
      <c r="Q93" s="1">
        <v>1.04</v>
      </c>
      <c r="R93" s="1">
        <v>462.47</v>
      </c>
      <c r="S93" s="1">
        <v>1.4999999999999999E-4</v>
      </c>
    </row>
    <row r="94" spans="1:19" x14ac:dyDescent="0.2">
      <c r="A94" s="1">
        <v>500</v>
      </c>
      <c r="B94" s="1">
        <v>39</v>
      </c>
      <c r="C94" s="1">
        <v>41</v>
      </c>
      <c r="D94" s="1">
        <v>1200</v>
      </c>
      <c r="E94" s="1">
        <v>71</v>
      </c>
      <c r="F94" s="1">
        <v>64</v>
      </c>
      <c r="G94" s="1">
        <v>1E-3</v>
      </c>
      <c r="H94" s="1">
        <v>98.36</v>
      </c>
      <c r="I94" s="1">
        <v>98.35</v>
      </c>
      <c r="J94" s="1">
        <v>98.35</v>
      </c>
      <c r="K94" s="1">
        <v>98.35</v>
      </c>
      <c r="L94" s="1">
        <v>0.56489999999999996</v>
      </c>
      <c r="M94" s="1">
        <v>436</v>
      </c>
      <c r="N94" s="1">
        <v>588042</v>
      </c>
      <c r="O94" s="1">
        <v>0.34139999999999998</v>
      </c>
      <c r="P94" s="1">
        <v>152.1019</v>
      </c>
      <c r="Q94" s="1">
        <v>0.6</v>
      </c>
      <c r="R94" s="1">
        <v>269.27</v>
      </c>
      <c r="S94" s="1">
        <v>5.9999999999999995E-4</v>
      </c>
    </row>
    <row r="95" spans="1:19" x14ac:dyDescent="0.2">
      <c r="A95" s="1">
        <v>500</v>
      </c>
      <c r="B95" s="1">
        <v>39</v>
      </c>
      <c r="C95" s="1">
        <v>41</v>
      </c>
      <c r="D95" s="1">
        <v>1200</v>
      </c>
      <c r="E95" s="1">
        <v>71</v>
      </c>
      <c r="F95" s="1">
        <v>64</v>
      </c>
      <c r="G95" s="1">
        <v>0.01</v>
      </c>
      <c r="H95" s="1">
        <v>98.26</v>
      </c>
      <c r="I95" s="1">
        <v>98.26</v>
      </c>
      <c r="J95" s="1">
        <v>98.23</v>
      </c>
      <c r="K95" s="1">
        <v>98.24</v>
      </c>
      <c r="L95" s="1">
        <v>0.56599999999999995</v>
      </c>
      <c r="M95" s="1">
        <v>258</v>
      </c>
      <c r="N95" s="1">
        <v>588042</v>
      </c>
      <c r="O95" s="1">
        <v>0.34139999999999998</v>
      </c>
      <c r="P95" s="1">
        <v>152.1019</v>
      </c>
      <c r="Q95" s="1">
        <v>0.6</v>
      </c>
      <c r="R95" s="1">
        <v>268.73</v>
      </c>
      <c r="S95" s="1">
        <v>5.0000000000000001E-4</v>
      </c>
    </row>
    <row r="96" spans="1:19" x14ac:dyDescent="0.2">
      <c r="A96" s="1">
        <v>500</v>
      </c>
      <c r="B96" s="1">
        <v>39</v>
      </c>
      <c r="C96" s="1">
        <v>41</v>
      </c>
      <c r="D96" s="1">
        <v>1200</v>
      </c>
      <c r="E96" s="1">
        <v>71</v>
      </c>
      <c r="F96" s="1">
        <v>32</v>
      </c>
      <c r="G96" s="1">
        <v>1E-3</v>
      </c>
      <c r="H96" s="1">
        <v>98.01</v>
      </c>
      <c r="I96" s="1">
        <v>97.98</v>
      </c>
      <c r="J96" s="1">
        <v>98</v>
      </c>
      <c r="K96" s="1">
        <v>97.99</v>
      </c>
      <c r="L96" s="1">
        <v>0.29249999999999998</v>
      </c>
      <c r="M96" s="1">
        <v>137</v>
      </c>
      <c r="N96" s="1">
        <v>148618</v>
      </c>
      <c r="O96" s="1">
        <v>0.34139999999999998</v>
      </c>
      <c r="P96" s="1">
        <v>152.1019</v>
      </c>
      <c r="Q96" s="1">
        <v>1.17</v>
      </c>
      <c r="R96" s="1">
        <v>519.91999999999996</v>
      </c>
      <c r="S96" s="1">
        <v>7.3999999999999999E-4</v>
      </c>
    </row>
    <row r="97" spans="1:19" x14ac:dyDescent="0.2">
      <c r="A97" s="1">
        <v>500</v>
      </c>
      <c r="B97" s="1">
        <v>39</v>
      </c>
      <c r="C97" s="1">
        <v>41</v>
      </c>
      <c r="D97" s="1">
        <v>1200</v>
      </c>
      <c r="E97" s="1">
        <v>71</v>
      </c>
      <c r="F97" s="1">
        <v>32</v>
      </c>
      <c r="G97" s="1">
        <v>0.01</v>
      </c>
      <c r="H97" s="1">
        <v>97.97</v>
      </c>
      <c r="I97" s="1">
        <v>97.96</v>
      </c>
      <c r="J97" s="1">
        <v>97.94</v>
      </c>
      <c r="K97" s="1">
        <v>97.95</v>
      </c>
      <c r="L97" s="1">
        <v>0.29170000000000001</v>
      </c>
      <c r="M97" s="1">
        <v>147</v>
      </c>
      <c r="N97" s="1">
        <v>148618</v>
      </c>
      <c r="O97" s="1">
        <v>0.34139999999999998</v>
      </c>
      <c r="P97" s="1">
        <v>152.1019</v>
      </c>
      <c r="Q97" s="1">
        <v>1.17</v>
      </c>
      <c r="R97" s="1">
        <v>521.45000000000005</v>
      </c>
      <c r="S97" s="1">
        <v>4.4000000000000002E-4</v>
      </c>
    </row>
    <row r="98" spans="1:19" x14ac:dyDescent="0.2">
      <c r="A98" s="1">
        <v>500</v>
      </c>
      <c r="B98" s="1">
        <v>39</v>
      </c>
      <c r="C98" s="1">
        <v>41</v>
      </c>
      <c r="D98" s="1">
        <v>1200</v>
      </c>
      <c r="E98" s="1">
        <v>41</v>
      </c>
      <c r="F98" s="1">
        <v>64</v>
      </c>
      <c r="G98" s="1">
        <v>1E-3</v>
      </c>
      <c r="H98" s="1">
        <v>98</v>
      </c>
      <c r="I98" s="1">
        <v>97.99</v>
      </c>
      <c r="J98" s="1">
        <v>97.98</v>
      </c>
      <c r="K98" s="1">
        <v>97.98</v>
      </c>
      <c r="L98" s="1">
        <v>0.36520000000000002</v>
      </c>
      <c r="M98" s="1">
        <v>199</v>
      </c>
      <c r="N98" s="1">
        <v>340362</v>
      </c>
      <c r="O98" s="1">
        <v>0.34139999999999998</v>
      </c>
      <c r="P98" s="1">
        <v>152.1019</v>
      </c>
      <c r="Q98" s="1">
        <v>0.93</v>
      </c>
      <c r="R98" s="1">
        <v>416.47</v>
      </c>
      <c r="S98" s="1">
        <v>1.8400000000000001E-3</v>
      </c>
    </row>
    <row r="99" spans="1:19" x14ac:dyDescent="0.2">
      <c r="A99" s="1">
        <v>500</v>
      </c>
      <c r="B99" s="1">
        <v>39</v>
      </c>
      <c r="C99" s="1">
        <v>41</v>
      </c>
      <c r="D99" s="1">
        <v>1200</v>
      </c>
      <c r="E99" s="1">
        <v>41</v>
      </c>
      <c r="F99" s="1">
        <v>64</v>
      </c>
      <c r="G99" s="1">
        <v>0.01</v>
      </c>
      <c r="H99" s="1">
        <v>97.88</v>
      </c>
      <c r="I99" s="1">
        <v>97.87</v>
      </c>
      <c r="J99" s="1">
        <v>97.85</v>
      </c>
      <c r="K99" s="1">
        <v>97.86</v>
      </c>
      <c r="L99" s="1">
        <v>0.37269999999999998</v>
      </c>
      <c r="M99" s="1">
        <v>179</v>
      </c>
      <c r="N99" s="1">
        <v>340362</v>
      </c>
      <c r="O99" s="1">
        <v>0.34139999999999998</v>
      </c>
      <c r="P99" s="1">
        <v>152.1019</v>
      </c>
      <c r="Q99" s="1">
        <v>0.92</v>
      </c>
      <c r="R99" s="1">
        <v>408.14</v>
      </c>
      <c r="S99" s="1">
        <v>1.2E-4</v>
      </c>
    </row>
    <row r="100" spans="1:19" x14ac:dyDescent="0.2">
      <c r="A100" s="1">
        <v>500</v>
      </c>
      <c r="B100" s="1">
        <v>39</v>
      </c>
      <c r="C100" s="1">
        <v>41</v>
      </c>
      <c r="D100" s="1">
        <v>1200</v>
      </c>
      <c r="E100" s="1">
        <v>41</v>
      </c>
      <c r="F100" s="1">
        <v>32</v>
      </c>
      <c r="G100" s="1">
        <v>1E-3</v>
      </c>
      <c r="H100" s="1">
        <v>97.93</v>
      </c>
      <c r="I100" s="1">
        <v>97.91</v>
      </c>
      <c r="J100" s="1">
        <v>97.92</v>
      </c>
      <c r="K100" s="1">
        <v>97.92</v>
      </c>
      <c r="L100" s="1">
        <v>0.18940000000000001</v>
      </c>
      <c r="M100" s="1">
        <v>159</v>
      </c>
      <c r="N100" s="1">
        <v>86218</v>
      </c>
      <c r="O100" s="1">
        <v>0.34139999999999998</v>
      </c>
      <c r="P100" s="1">
        <v>152.1019</v>
      </c>
      <c r="Q100" s="1">
        <v>1.8</v>
      </c>
      <c r="R100" s="1">
        <v>803.2</v>
      </c>
      <c r="S100" s="1">
        <v>1.8000000000000001E-4</v>
      </c>
    </row>
    <row r="101" spans="1:19" x14ac:dyDescent="0.2">
      <c r="A101" s="1">
        <v>500</v>
      </c>
      <c r="B101" s="1">
        <v>39</v>
      </c>
      <c r="C101" s="1">
        <v>41</v>
      </c>
      <c r="D101" s="1">
        <v>1200</v>
      </c>
      <c r="E101" s="1">
        <v>41</v>
      </c>
      <c r="F101" s="1">
        <v>32</v>
      </c>
      <c r="G101" s="1">
        <v>0.01</v>
      </c>
      <c r="H101" s="1">
        <v>97.64</v>
      </c>
      <c r="I101" s="1">
        <v>97.61</v>
      </c>
      <c r="J101" s="1">
        <v>97.62</v>
      </c>
      <c r="K101" s="1">
        <v>97.61</v>
      </c>
      <c r="L101" s="1">
        <v>0.18959999999999999</v>
      </c>
      <c r="M101" s="1">
        <v>106</v>
      </c>
      <c r="N101" s="1">
        <v>86218</v>
      </c>
      <c r="O101" s="1">
        <v>0.34139999999999998</v>
      </c>
      <c r="P101" s="1">
        <v>152.1019</v>
      </c>
      <c r="Q101" s="1">
        <v>1.8</v>
      </c>
      <c r="R101" s="1">
        <v>802.39</v>
      </c>
      <c r="S101" s="1">
        <v>6.4000000000000005E-4</v>
      </c>
    </row>
    <row r="102" spans="1:19" x14ac:dyDescent="0.2">
      <c r="A102" s="1">
        <v>500</v>
      </c>
      <c r="B102" s="1">
        <v>39</v>
      </c>
      <c r="C102" s="1">
        <v>41</v>
      </c>
      <c r="D102" s="1">
        <v>1200</v>
      </c>
      <c r="E102" s="1">
        <v>31</v>
      </c>
      <c r="F102" s="1">
        <v>64</v>
      </c>
      <c r="G102" s="1">
        <v>1E-3</v>
      </c>
      <c r="H102" s="1">
        <v>97.67</v>
      </c>
      <c r="I102" s="1">
        <v>97.66</v>
      </c>
      <c r="J102" s="1">
        <v>97.64</v>
      </c>
      <c r="K102" s="1">
        <v>97.64</v>
      </c>
      <c r="L102" s="1">
        <v>0.2772</v>
      </c>
      <c r="M102" s="1">
        <v>245</v>
      </c>
      <c r="N102" s="1">
        <v>257802</v>
      </c>
      <c r="O102" s="1">
        <v>0.34139999999999998</v>
      </c>
      <c r="P102" s="1">
        <v>152.1019</v>
      </c>
      <c r="Q102" s="1">
        <v>1.23</v>
      </c>
      <c r="R102" s="1">
        <v>548.79</v>
      </c>
      <c r="S102" s="1">
        <v>2.0000000000000001E-4</v>
      </c>
    </row>
    <row r="103" spans="1:19" x14ac:dyDescent="0.2">
      <c r="A103" s="1">
        <v>500</v>
      </c>
      <c r="B103" s="1">
        <v>39</v>
      </c>
      <c r="C103" s="1">
        <v>41</v>
      </c>
      <c r="D103" s="1">
        <v>1200</v>
      </c>
      <c r="E103" s="1">
        <v>31</v>
      </c>
      <c r="F103" s="1">
        <v>64</v>
      </c>
      <c r="G103" s="1">
        <v>0.01</v>
      </c>
      <c r="H103" s="1">
        <v>97.27</v>
      </c>
      <c r="I103" s="1">
        <v>97.26</v>
      </c>
      <c r="J103" s="1">
        <v>97.23</v>
      </c>
      <c r="K103" s="1">
        <v>97.24</v>
      </c>
      <c r="L103" s="1">
        <v>0.2777</v>
      </c>
      <c r="M103" s="1">
        <v>152</v>
      </c>
      <c r="N103" s="1">
        <v>257802</v>
      </c>
      <c r="O103" s="1">
        <v>0.34139999999999998</v>
      </c>
      <c r="P103" s="1">
        <v>152.1019</v>
      </c>
      <c r="Q103" s="1">
        <v>1.23</v>
      </c>
      <c r="R103" s="1">
        <v>547.66</v>
      </c>
      <c r="S103" s="1">
        <v>1E-3</v>
      </c>
    </row>
    <row r="104" spans="1:19" x14ac:dyDescent="0.2">
      <c r="A104" s="1">
        <v>500</v>
      </c>
      <c r="B104" s="1">
        <v>39</v>
      </c>
      <c r="C104" s="1">
        <v>41</v>
      </c>
      <c r="D104" s="1">
        <v>1200</v>
      </c>
      <c r="E104" s="1">
        <v>31</v>
      </c>
      <c r="F104" s="1">
        <v>32</v>
      </c>
      <c r="G104" s="1">
        <v>1E-3</v>
      </c>
      <c r="H104" s="1">
        <v>97.2</v>
      </c>
      <c r="I104" s="1">
        <v>97.17</v>
      </c>
      <c r="J104" s="1">
        <v>97.18</v>
      </c>
      <c r="K104" s="1">
        <v>97.17</v>
      </c>
      <c r="L104" s="1">
        <v>0.1018</v>
      </c>
      <c r="M104" s="1">
        <v>160</v>
      </c>
      <c r="N104" s="1">
        <v>65418</v>
      </c>
      <c r="O104" s="1">
        <v>0.34139999999999998</v>
      </c>
      <c r="P104" s="1">
        <v>152.1019</v>
      </c>
      <c r="Q104" s="1">
        <v>3.35</v>
      </c>
      <c r="R104" s="1">
        <v>1494.71</v>
      </c>
      <c r="S104" s="1">
        <v>5.6899999999999997E-3</v>
      </c>
    </row>
    <row r="105" spans="1:19" x14ac:dyDescent="0.2">
      <c r="A105" s="1">
        <v>500</v>
      </c>
      <c r="B105" s="1">
        <v>39</v>
      </c>
      <c r="C105" s="1">
        <v>41</v>
      </c>
      <c r="D105" s="1">
        <v>1200</v>
      </c>
      <c r="E105" s="1">
        <v>31</v>
      </c>
      <c r="F105" s="1">
        <v>32</v>
      </c>
      <c r="G105" s="1">
        <v>0.01</v>
      </c>
      <c r="H105" s="1">
        <v>97.14</v>
      </c>
      <c r="I105" s="1">
        <v>97.13</v>
      </c>
      <c r="J105" s="1">
        <v>97.11</v>
      </c>
      <c r="K105" s="1">
        <v>97.11</v>
      </c>
      <c r="L105" s="1">
        <v>0.1018</v>
      </c>
      <c r="M105" s="1">
        <v>164</v>
      </c>
      <c r="N105" s="1">
        <v>65418</v>
      </c>
      <c r="O105" s="1">
        <v>0.34139999999999998</v>
      </c>
      <c r="P105" s="1">
        <v>152.1019</v>
      </c>
      <c r="Q105" s="1">
        <v>3.35</v>
      </c>
      <c r="R105" s="1">
        <v>1493.39</v>
      </c>
      <c r="S105" s="1">
        <v>6.2399999999999999E-3</v>
      </c>
    </row>
    <row r="106" spans="1:19" x14ac:dyDescent="0.2">
      <c r="A106" s="1">
        <v>500</v>
      </c>
      <c r="B106" s="1">
        <v>39</v>
      </c>
      <c r="C106" s="1">
        <v>41</v>
      </c>
      <c r="D106" s="1">
        <v>1200</v>
      </c>
      <c r="E106" s="1">
        <v>21</v>
      </c>
      <c r="F106" s="1">
        <v>64</v>
      </c>
      <c r="G106" s="1">
        <v>1E-3</v>
      </c>
      <c r="H106" s="1">
        <v>96.81</v>
      </c>
      <c r="I106" s="1">
        <v>96.77</v>
      </c>
      <c r="J106" s="1">
        <v>96.78</v>
      </c>
      <c r="K106" s="1">
        <v>96.77</v>
      </c>
      <c r="L106" s="1">
        <v>0.21590000000000001</v>
      </c>
      <c r="M106" s="1">
        <v>233</v>
      </c>
      <c r="N106" s="1">
        <v>175242</v>
      </c>
      <c r="O106" s="1">
        <v>0.34139999999999998</v>
      </c>
      <c r="P106" s="1">
        <v>152.1019</v>
      </c>
      <c r="Q106" s="1">
        <v>1.58</v>
      </c>
      <c r="R106" s="1">
        <v>704.63</v>
      </c>
      <c r="S106" s="1">
        <v>3.1E-4</v>
      </c>
    </row>
    <row r="107" spans="1:19" x14ac:dyDescent="0.2">
      <c r="A107" s="1">
        <v>500</v>
      </c>
      <c r="B107" s="1">
        <v>39</v>
      </c>
      <c r="C107" s="1">
        <v>41</v>
      </c>
      <c r="D107" s="1">
        <v>1200</v>
      </c>
      <c r="E107" s="1">
        <v>21</v>
      </c>
      <c r="F107" s="1">
        <v>64</v>
      </c>
      <c r="G107" s="1">
        <v>0.01</v>
      </c>
      <c r="H107" s="1">
        <v>96.6</v>
      </c>
      <c r="I107" s="1">
        <v>96.57</v>
      </c>
      <c r="J107" s="1">
        <v>96.57</v>
      </c>
      <c r="K107" s="1">
        <v>96.56</v>
      </c>
      <c r="L107" s="1">
        <v>0.2157</v>
      </c>
      <c r="M107" s="1">
        <v>165</v>
      </c>
      <c r="N107" s="1">
        <v>175242</v>
      </c>
      <c r="O107" s="1">
        <v>0.34139999999999998</v>
      </c>
      <c r="P107" s="1">
        <v>152.1019</v>
      </c>
      <c r="Q107" s="1">
        <v>1.58</v>
      </c>
      <c r="R107" s="1">
        <v>705.32</v>
      </c>
      <c r="S107" s="1">
        <v>8.5999999999999998E-4</v>
      </c>
    </row>
    <row r="108" spans="1:19" x14ac:dyDescent="0.2">
      <c r="A108" s="1">
        <v>500</v>
      </c>
      <c r="B108" s="1">
        <v>39</v>
      </c>
      <c r="C108" s="1">
        <v>41</v>
      </c>
      <c r="D108" s="1">
        <v>1200</v>
      </c>
      <c r="E108" s="1">
        <v>21</v>
      </c>
      <c r="F108" s="1">
        <v>32</v>
      </c>
      <c r="G108" s="1">
        <v>0.01</v>
      </c>
      <c r="H108" s="1">
        <v>96.58</v>
      </c>
      <c r="I108" s="1">
        <v>96.54</v>
      </c>
      <c r="J108" s="1">
        <v>96.56</v>
      </c>
      <c r="K108" s="1">
        <v>96.55</v>
      </c>
      <c r="L108" s="1">
        <v>0.10920000000000001</v>
      </c>
      <c r="M108" s="1">
        <v>150</v>
      </c>
      <c r="N108" s="1">
        <v>44618</v>
      </c>
      <c r="O108" s="1">
        <v>0.34139999999999998</v>
      </c>
      <c r="P108" s="1">
        <v>152.1019</v>
      </c>
      <c r="Q108" s="1">
        <v>3.13</v>
      </c>
      <c r="R108" s="1">
        <v>1392.62</v>
      </c>
      <c r="S108" s="1">
        <v>2.026E-2</v>
      </c>
    </row>
    <row r="109" spans="1:19" x14ac:dyDescent="0.2">
      <c r="A109" s="1">
        <v>500</v>
      </c>
      <c r="B109" s="1">
        <v>39</v>
      </c>
      <c r="C109" s="1">
        <v>41</v>
      </c>
      <c r="D109" s="1">
        <v>1200</v>
      </c>
      <c r="E109" s="1">
        <v>21</v>
      </c>
      <c r="F109" s="1">
        <v>32</v>
      </c>
      <c r="G109" s="1">
        <v>1E-3</v>
      </c>
      <c r="H109" s="1">
        <v>96.5</v>
      </c>
      <c r="I109" s="1">
        <v>96.48</v>
      </c>
      <c r="J109" s="1">
        <v>96.46</v>
      </c>
      <c r="K109" s="1">
        <v>96.47</v>
      </c>
      <c r="L109" s="1">
        <v>8.5400000000000004E-2</v>
      </c>
      <c r="M109" s="1">
        <v>173</v>
      </c>
      <c r="N109" s="1">
        <v>44618</v>
      </c>
      <c r="O109" s="1">
        <v>0.34139999999999998</v>
      </c>
      <c r="P109" s="1">
        <v>152.1019</v>
      </c>
      <c r="Q109" s="1">
        <v>4</v>
      </c>
      <c r="R109" s="1">
        <v>1781.47</v>
      </c>
      <c r="S109" s="1">
        <v>5.4599999999999996E-3</v>
      </c>
    </row>
    <row r="110" spans="1:19" x14ac:dyDescent="0.2">
      <c r="A110" s="1">
        <v>500</v>
      </c>
      <c r="B110" s="1">
        <v>39</v>
      </c>
      <c r="C110" s="1">
        <v>41</v>
      </c>
      <c r="D110" s="1">
        <v>1200</v>
      </c>
      <c r="E110" s="1">
        <v>11</v>
      </c>
      <c r="F110" s="1">
        <v>64</v>
      </c>
      <c r="G110" s="1">
        <v>1E-3</v>
      </c>
      <c r="H110" s="1">
        <v>93.82</v>
      </c>
      <c r="I110" s="1">
        <v>93.75</v>
      </c>
      <c r="J110" s="1">
        <v>93.74</v>
      </c>
      <c r="K110" s="1">
        <v>93.74</v>
      </c>
      <c r="L110" s="1">
        <v>0.15179999999999999</v>
      </c>
      <c r="M110" s="1">
        <v>125</v>
      </c>
      <c r="N110" s="1">
        <v>92682</v>
      </c>
      <c r="O110" s="1">
        <v>0.34139999999999998</v>
      </c>
      <c r="P110" s="1">
        <v>152.1019</v>
      </c>
      <c r="Q110" s="1">
        <v>2.25</v>
      </c>
      <c r="R110" s="1">
        <v>1002.25</v>
      </c>
      <c r="S110" s="1">
        <v>2.9E-4</v>
      </c>
    </row>
    <row r="111" spans="1:19" x14ac:dyDescent="0.2">
      <c r="A111" s="1">
        <v>500</v>
      </c>
      <c r="B111" s="1">
        <v>39</v>
      </c>
      <c r="C111" s="1">
        <v>41</v>
      </c>
      <c r="D111" s="1">
        <v>1200</v>
      </c>
      <c r="E111" s="1">
        <v>11</v>
      </c>
      <c r="F111" s="1">
        <v>64</v>
      </c>
      <c r="G111" s="1">
        <v>0.01</v>
      </c>
      <c r="H111" s="1">
        <v>93.78</v>
      </c>
      <c r="I111" s="1">
        <v>93.73</v>
      </c>
      <c r="J111" s="1">
        <v>93.72</v>
      </c>
      <c r="K111" s="1">
        <v>93.71</v>
      </c>
      <c r="L111" s="1">
        <v>0.15540000000000001</v>
      </c>
      <c r="M111" s="1">
        <v>182</v>
      </c>
      <c r="N111" s="1">
        <v>92682</v>
      </c>
      <c r="O111" s="1">
        <v>0.34139999999999998</v>
      </c>
      <c r="P111" s="1">
        <v>152.1019</v>
      </c>
      <c r="Q111" s="1">
        <v>2.2000000000000002</v>
      </c>
      <c r="R111" s="1">
        <v>978.71</v>
      </c>
      <c r="S111" s="1">
        <v>5.6999999999999998E-4</v>
      </c>
    </row>
    <row r="112" spans="1:19" x14ac:dyDescent="0.2">
      <c r="A112" s="1">
        <v>500</v>
      </c>
      <c r="B112" s="1">
        <v>39</v>
      </c>
      <c r="C112" s="1">
        <v>41</v>
      </c>
      <c r="D112" s="1">
        <v>1200</v>
      </c>
      <c r="E112" s="1">
        <v>11</v>
      </c>
      <c r="F112" s="1">
        <v>32</v>
      </c>
      <c r="G112" s="1">
        <v>0.01</v>
      </c>
      <c r="H112" s="1">
        <v>93.07</v>
      </c>
      <c r="I112" s="1">
        <v>93.01</v>
      </c>
      <c r="J112" s="1">
        <v>92.99</v>
      </c>
      <c r="K112" s="1">
        <v>92.98</v>
      </c>
      <c r="L112" s="1">
        <v>7.1400000000000005E-2</v>
      </c>
      <c r="M112" s="1">
        <v>154</v>
      </c>
      <c r="N112" s="1">
        <v>23818</v>
      </c>
      <c r="O112" s="1">
        <v>0.34139999999999998</v>
      </c>
      <c r="P112" s="1">
        <v>152.1019</v>
      </c>
      <c r="Q112" s="1">
        <v>4.78</v>
      </c>
      <c r="R112" s="1">
        <v>2128.79</v>
      </c>
      <c r="S112" s="1">
        <v>1.5399999999999999E-3</v>
      </c>
    </row>
    <row r="113" spans="1:19" x14ac:dyDescent="0.2">
      <c r="A113" s="1">
        <v>500</v>
      </c>
      <c r="B113" s="1">
        <v>39</v>
      </c>
      <c r="C113" s="1">
        <v>41</v>
      </c>
      <c r="D113" s="1">
        <v>1200</v>
      </c>
      <c r="E113" s="1">
        <v>11</v>
      </c>
      <c r="F113" s="1">
        <v>32</v>
      </c>
      <c r="G113" s="1">
        <v>1E-3</v>
      </c>
      <c r="H113" s="1">
        <v>92.43</v>
      </c>
      <c r="I113" s="1">
        <v>92.35</v>
      </c>
      <c r="J113" s="1">
        <v>92.34</v>
      </c>
      <c r="K113" s="1">
        <v>92.33</v>
      </c>
      <c r="L113" s="1">
        <v>7.17E-2</v>
      </c>
      <c r="M113" s="1">
        <v>163</v>
      </c>
      <c r="N113" s="1">
        <v>23818</v>
      </c>
      <c r="O113" s="1">
        <v>0.34139999999999998</v>
      </c>
      <c r="P113" s="1">
        <v>152.1019</v>
      </c>
      <c r="Q113" s="1">
        <v>4.76</v>
      </c>
      <c r="R113" s="1">
        <v>2121.36</v>
      </c>
      <c r="S113" s="1">
        <v>2E-3</v>
      </c>
    </row>
  </sheetData>
  <autoFilter ref="A1:A115" xr:uid="{00000000-0001-0000-0200-000000000000}">
    <sortState xmlns:xlrd2="http://schemas.microsoft.com/office/spreadsheetml/2017/richdata2" ref="A2:S115">
      <sortCondition ref="A1:A11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011E-7DAC-0C44-8D6F-86432D9F1856}">
  <dimension ref="A1:AF113"/>
  <sheetViews>
    <sheetView tabSelected="1" workbookViewId="0">
      <selection activeCell="H29" sqref="H29"/>
    </sheetView>
  </sheetViews>
  <sheetFormatPr baseColWidth="10" defaultRowHeight="15" x14ac:dyDescent="0.2"/>
  <cols>
    <col min="5" max="5" width="11" customWidth="1"/>
    <col min="6" max="6" width="12.33203125" customWidth="1"/>
    <col min="8" max="8" width="12.1640625" customWidth="1"/>
    <col min="9" max="9" width="12.33203125" customWidth="1"/>
    <col min="12" max="12" width="15.1640625" customWidth="1"/>
    <col min="13" max="13" width="12.33203125" customWidth="1"/>
    <col min="15" max="15" width="27" customWidth="1"/>
    <col min="16" max="16" width="27.33203125" customWidth="1"/>
    <col min="17" max="17" width="23.83203125" customWidth="1"/>
    <col min="18" max="18" width="24.1640625" customWidth="1"/>
    <col min="19" max="19" width="17.83203125" customWidth="1"/>
    <col min="23" max="26" width="11.6640625" bestFit="1" customWidth="1"/>
    <col min="29" max="32" width="14.1640625" bestFit="1" customWidth="1"/>
  </cols>
  <sheetData>
    <row r="1" spans="1:32" x14ac:dyDescent="0.2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  <c r="I1" t="s">
        <v>10</v>
      </c>
      <c r="J1" t="s">
        <v>9</v>
      </c>
      <c r="K1" t="s">
        <v>8</v>
      </c>
      <c r="L1" t="s">
        <v>7</v>
      </c>
      <c r="M1" t="s">
        <v>6</v>
      </c>
      <c r="N1" t="s">
        <v>5</v>
      </c>
      <c r="O1" t="s">
        <v>4</v>
      </c>
      <c r="P1" t="s">
        <v>3</v>
      </c>
      <c r="Q1" t="s">
        <v>2</v>
      </c>
      <c r="R1" t="s">
        <v>1</v>
      </c>
      <c r="S1" t="s">
        <v>0</v>
      </c>
    </row>
    <row r="2" spans="1:32" x14ac:dyDescent="0.2">
      <c r="A2" s="4">
        <v>50</v>
      </c>
      <c r="B2" s="4">
        <v>43</v>
      </c>
      <c r="C2" s="4">
        <v>37</v>
      </c>
      <c r="D2" s="4">
        <v>350</v>
      </c>
      <c r="E2" s="4">
        <v>31</v>
      </c>
      <c r="F2" s="4">
        <v>64</v>
      </c>
      <c r="G2" s="4">
        <v>1E-3</v>
      </c>
      <c r="H2" s="4">
        <v>83.46</v>
      </c>
      <c r="I2" s="4">
        <v>83.27</v>
      </c>
      <c r="J2" s="4">
        <v>83.27</v>
      </c>
      <c r="K2" s="4">
        <v>83.24</v>
      </c>
      <c r="L2" s="4">
        <v>8.1500000000000003E-2</v>
      </c>
      <c r="M2" s="4">
        <v>147</v>
      </c>
      <c r="N2" s="4">
        <v>257802</v>
      </c>
      <c r="O2" s="4">
        <v>0.34989999999999999</v>
      </c>
      <c r="P2" s="4">
        <v>22.5443</v>
      </c>
      <c r="Q2" s="4">
        <v>4.29</v>
      </c>
      <c r="R2" s="4">
        <v>276.45</v>
      </c>
      <c r="S2" s="4">
        <v>6.4000000000000003E-3</v>
      </c>
      <c r="V2" t="s">
        <v>27</v>
      </c>
      <c r="W2">
        <v>50</v>
      </c>
      <c r="X2">
        <v>100</v>
      </c>
      <c r="Y2">
        <v>200</v>
      </c>
      <c r="Z2">
        <v>500</v>
      </c>
      <c r="AB2" t="s">
        <v>26</v>
      </c>
      <c r="AC2">
        <v>50</v>
      </c>
      <c r="AD2">
        <v>100</v>
      </c>
      <c r="AE2">
        <v>200</v>
      </c>
      <c r="AF2">
        <v>500</v>
      </c>
    </row>
    <row r="3" spans="1:32" x14ac:dyDescent="0.2">
      <c r="A3" s="4">
        <v>50</v>
      </c>
      <c r="B3" s="4">
        <v>43</v>
      </c>
      <c r="C3" s="4">
        <v>37</v>
      </c>
      <c r="D3" s="4">
        <v>350</v>
      </c>
      <c r="E3" s="4">
        <v>31</v>
      </c>
      <c r="F3" s="4">
        <v>64</v>
      </c>
      <c r="G3" s="4">
        <v>0.01</v>
      </c>
      <c r="H3" s="4">
        <v>83.36</v>
      </c>
      <c r="I3" s="4">
        <v>83.29</v>
      </c>
      <c r="J3" s="4">
        <v>83.14</v>
      </c>
      <c r="K3" s="4">
        <v>83.16</v>
      </c>
      <c r="L3" s="4">
        <v>0.1003</v>
      </c>
      <c r="M3" s="4">
        <v>91</v>
      </c>
      <c r="N3" s="4">
        <v>257802</v>
      </c>
      <c r="O3" s="4">
        <v>0.34989999999999999</v>
      </c>
      <c r="P3" s="4">
        <v>22.5443</v>
      </c>
      <c r="Q3" s="4">
        <v>3.49</v>
      </c>
      <c r="R3" s="4">
        <v>224.72</v>
      </c>
      <c r="S3" s="4">
        <v>2.23E-2</v>
      </c>
      <c r="V3" t="s">
        <v>19</v>
      </c>
      <c r="W3" s="7">
        <f>AVERAGE(H2:H29)</f>
        <v>82.686428571428578</v>
      </c>
      <c r="X3" s="7">
        <f>AVERAGE(H30:H57)</f>
        <v>92.600000000000037</v>
      </c>
      <c r="Y3" s="7">
        <f>AVERAGE(H58:H85)</f>
        <v>94.797142857142845</v>
      </c>
      <c r="Z3" s="7">
        <f>AVERAGE(H86:H113)</f>
        <v>97.112857142857166</v>
      </c>
      <c r="AB3" t="s">
        <v>19</v>
      </c>
      <c r="AC3" s="7">
        <f>STDEV(H2:H29)</f>
        <v>0.77413853811218791</v>
      </c>
      <c r="AD3" s="7">
        <f>STDEV(H30:H57)</f>
        <v>1.5603608319635316</v>
      </c>
      <c r="AE3" s="7">
        <f>STDEV(H58:H85)</f>
        <v>1.8977293588856963</v>
      </c>
      <c r="AF3" s="7">
        <f>STDEV(H86:H113)</f>
        <v>1.7153508595703018</v>
      </c>
    </row>
    <row r="4" spans="1:32" x14ac:dyDescent="0.2">
      <c r="A4" s="4">
        <v>50</v>
      </c>
      <c r="B4" s="4">
        <v>43</v>
      </c>
      <c r="C4" s="4">
        <v>37</v>
      </c>
      <c r="D4" s="4">
        <v>350</v>
      </c>
      <c r="E4" s="4">
        <v>21</v>
      </c>
      <c r="F4" s="4">
        <v>64</v>
      </c>
      <c r="G4" s="4">
        <v>1E-3</v>
      </c>
      <c r="H4" s="4">
        <v>83.35</v>
      </c>
      <c r="I4" s="4">
        <v>83.15</v>
      </c>
      <c r="J4" s="4">
        <v>83.12</v>
      </c>
      <c r="K4" s="4">
        <v>83.11</v>
      </c>
      <c r="L4" s="4">
        <v>7.3499999999999996E-2</v>
      </c>
      <c r="M4" s="4">
        <v>145</v>
      </c>
      <c r="N4" s="4">
        <v>175242</v>
      </c>
      <c r="O4" s="4">
        <v>0.34989999999999999</v>
      </c>
      <c r="P4" s="4">
        <v>22.5443</v>
      </c>
      <c r="Q4" s="4">
        <v>4.76</v>
      </c>
      <c r="R4" s="4">
        <v>306.64</v>
      </c>
      <c r="S4" s="4">
        <v>2.8400000000000001E-3</v>
      </c>
      <c r="V4" t="s">
        <v>20</v>
      </c>
      <c r="W4" s="7">
        <f>AVERAGE(I2:I29)</f>
        <v>82.548928571428561</v>
      </c>
      <c r="X4" s="7">
        <f>AVERAGE(I30:I57)</f>
        <v>92.548214285714295</v>
      </c>
      <c r="Y4" s="7">
        <f>AVERAGE(I58:I85)</f>
        <v>94.757142857142867</v>
      </c>
      <c r="Z4" s="7">
        <f>AVERAGE(I86:I113)</f>
        <v>97.087500000000006</v>
      </c>
      <c r="AB4" t="s">
        <v>20</v>
      </c>
      <c r="AC4" s="7">
        <f>STDEV(I2:I29)</f>
        <v>0.76131630300914599</v>
      </c>
      <c r="AD4" s="7">
        <f>STDEV(I30:I57)</f>
        <v>1.5786094527250261</v>
      </c>
      <c r="AE4" s="7">
        <f>STDEV(I58:I85)</f>
        <v>1.8930669944570495</v>
      </c>
      <c r="AF4" s="7">
        <f>STDEV(I86:I113)</f>
        <v>1.7327277254001474</v>
      </c>
    </row>
    <row r="5" spans="1:32" x14ac:dyDescent="0.2">
      <c r="A5" s="4">
        <v>50</v>
      </c>
      <c r="B5" s="4">
        <v>43</v>
      </c>
      <c r="C5" s="4">
        <v>37</v>
      </c>
      <c r="D5" s="4">
        <v>350</v>
      </c>
      <c r="E5" s="4">
        <v>41</v>
      </c>
      <c r="F5" s="4">
        <v>32</v>
      </c>
      <c r="G5" s="4">
        <v>0.01</v>
      </c>
      <c r="H5" s="4">
        <v>83.22</v>
      </c>
      <c r="I5" s="4">
        <v>83.08</v>
      </c>
      <c r="J5" s="4">
        <v>82.98</v>
      </c>
      <c r="K5" s="4">
        <v>83.01</v>
      </c>
      <c r="L5" s="4">
        <v>6.5600000000000006E-2</v>
      </c>
      <c r="M5" s="4">
        <v>126</v>
      </c>
      <c r="N5" s="4">
        <v>86218</v>
      </c>
      <c r="O5" s="4">
        <v>0.34989999999999999</v>
      </c>
      <c r="P5" s="4">
        <v>22.5443</v>
      </c>
      <c r="Q5" s="4">
        <v>5.33</v>
      </c>
      <c r="R5" s="4">
        <v>343.56</v>
      </c>
      <c r="S5" s="4">
        <v>1.33E-3</v>
      </c>
      <c r="V5" t="s">
        <v>21</v>
      </c>
      <c r="W5" s="7">
        <f>AVERAGE(J2:J29)</f>
        <v>82.472142857142885</v>
      </c>
      <c r="X5" s="7">
        <f>AVERAGE(J30:J57)</f>
        <v>92.513571428571439</v>
      </c>
      <c r="Y5" s="7">
        <f>AVERAGE(J58:J85)</f>
        <v>94.765357142857141</v>
      </c>
      <c r="Z5" s="7">
        <f>AVERAGE(J86:J113)</f>
        <v>97.083214285714277</v>
      </c>
      <c r="AB5" t="s">
        <v>21</v>
      </c>
      <c r="AC5" s="7">
        <f>STDEV(J2:J29)</f>
        <v>0.78778337473105398</v>
      </c>
      <c r="AD5" s="7">
        <f>STDEV(J30:J57)</f>
        <v>1.5887502992061129</v>
      </c>
      <c r="AE5" s="7">
        <f>STDEV(J58:J85)</f>
        <v>1.9126488945048934</v>
      </c>
      <c r="AF5" s="7">
        <f>STDEV(J86:J113)</f>
        <v>1.7361580692062124</v>
      </c>
    </row>
    <row r="6" spans="1:32" x14ac:dyDescent="0.2">
      <c r="A6" s="4">
        <v>50</v>
      </c>
      <c r="B6" s="4">
        <v>43</v>
      </c>
      <c r="C6" s="4">
        <v>37</v>
      </c>
      <c r="D6" s="4">
        <v>350</v>
      </c>
      <c r="E6" s="4">
        <v>41</v>
      </c>
      <c r="F6" s="4">
        <v>64</v>
      </c>
      <c r="G6" s="4">
        <v>0.01</v>
      </c>
      <c r="H6" s="4">
        <v>83.17</v>
      </c>
      <c r="I6" s="4">
        <v>83.22</v>
      </c>
      <c r="J6" s="4">
        <v>82.96</v>
      </c>
      <c r="K6" s="4">
        <v>83.02</v>
      </c>
      <c r="L6" s="4">
        <v>7.6700000000000004E-2</v>
      </c>
      <c r="M6" s="4">
        <v>107</v>
      </c>
      <c r="N6" s="4">
        <v>340362</v>
      </c>
      <c r="O6" s="4">
        <v>0.34989999999999999</v>
      </c>
      <c r="P6" s="4">
        <v>22.5443</v>
      </c>
      <c r="Q6" s="4">
        <v>4.5599999999999996</v>
      </c>
      <c r="R6" s="4">
        <v>293.89</v>
      </c>
      <c r="S6" s="4">
        <v>6.3E-3</v>
      </c>
      <c r="V6" t="s">
        <v>22</v>
      </c>
      <c r="W6" s="7">
        <f>AVERAGE(K2:K29)</f>
        <v>82.474642857142854</v>
      </c>
      <c r="X6" s="7">
        <f>AVERAGE(K30:K57)</f>
        <v>92.522500000000008</v>
      </c>
      <c r="Y6" s="7">
        <f>AVERAGE(K58:K85)</f>
        <v>94.753928571428574</v>
      </c>
      <c r="Z6" s="7">
        <f>AVERAGE(K86:K113)</f>
        <v>97.081071428571434</v>
      </c>
      <c r="AB6" t="s">
        <v>22</v>
      </c>
      <c r="AC6" s="7">
        <f>STDEV(K2:K29)</f>
        <v>0.78110786537743726</v>
      </c>
      <c r="AD6" s="7">
        <f>STDEV(K30:K57)</f>
        <v>1.5878814793908862</v>
      </c>
      <c r="AE6" s="7">
        <f>STDEV(K58:K85)</f>
        <v>1.9092006069745415</v>
      </c>
      <c r="AF6" s="7">
        <f>STDEV(K86:K113)</f>
        <v>1.7386890320769131</v>
      </c>
    </row>
    <row r="7" spans="1:32" x14ac:dyDescent="0.2">
      <c r="A7" s="4">
        <v>50</v>
      </c>
      <c r="B7" s="4">
        <v>43</v>
      </c>
      <c r="C7" s="4">
        <v>37</v>
      </c>
      <c r="D7" s="4">
        <v>350</v>
      </c>
      <c r="E7" s="4">
        <v>91</v>
      </c>
      <c r="F7" s="4">
        <v>64</v>
      </c>
      <c r="G7" s="4">
        <v>1E-3</v>
      </c>
      <c r="H7" s="4">
        <v>83.17</v>
      </c>
      <c r="I7" s="4">
        <v>82.93</v>
      </c>
      <c r="J7" s="4">
        <v>82.98</v>
      </c>
      <c r="K7" s="4">
        <v>82.94</v>
      </c>
      <c r="L7" s="4">
        <v>0.14580000000000001</v>
      </c>
      <c r="M7" s="4">
        <v>163</v>
      </c>
      <c r="N7" s="4">
        <v>753162</v>
      </c>
      <c r="O7" s="4">
        <v>0.34989999999999999</v>
      </c>
      <c r="P7" s="4">
        <v>22.5443</v>
      </c>
      <c r="Q7" s="4">
        <v>2.4</v>
      </c>
      <c r="R7" s="4">
        <v>154.59</v>
      </c>
      <c r="S7" s="4">
        <v>2.0000000000000001E-4</v>
      </c>
      <c r="V7" t="s">
        <v>23</v>
      </c>
      <c r="W7" s="6">
        <f>AVERAGE(L2:L29)</f>
        <v>9.3235714285714297E-2</v>
      </c>
      <c r="X7" s="6">
        <f>AVERAGE(L30:L57)</f>
        <v>0.10543571428571429</v>
      </c>
      <c r="Y7" s="6">
        <f>AVERAGE(L58:L85)</f>
        <v>0.15151428571428568</v>
      </c>
      <c r="Z7" s="6">
        <f>AVERAGE(L86:L113)</f>
        <v>0.31074999999999997</v>
      </c>
      <c r="AB7" t="s">
        <v>23</v>
      </c>
      <c r="AC7" s="8">
        <f>STDEV(L2:L29)</f>
        <v>2.563564090589671E-2</v>
      </c>
      <c r="AD7" s="8">
        <f>STDEV(L30:L57)</f>
        <v>3.6621671526526775E-2</v>
      </c>
      <c r="AE7" s="8">
        <f>STDEV(L58:L85)</f>
        <v>7.6909652210724544E-2</v>
      </c>
      <c r="AF7" s="8">
        <f>STDEV(L86:L113)</f>
        <v>0.19489905554376574</v>
      </c>
    </row>
    <row r="8" spans="1:32" x14ac:dyDescent="0.2">
      <c r="A8" s="4">
        <v>50</v>
      </c>
      <c r="B8" s="4">
        <v>43</v>
      </c>
      <c r="C8" s="4">
        <v>37</v>
      </c>
      <c r="D8" s="4">
        <v>350</v>
      </c>
      <c r="E8" s="4">
        <v>21</v>
      </c>
      <c r="F8" s="4">
        <v>64</v>
      </c>
      <c r="G8" s="4">
        <v>0.01</v>
      </c>
      <c r="H8" s="4">
        <v>83.15</v>
      </c>
      <c r="I8" s="4">
        <v>83.05</v>
      </c>
      <c r="J8" s="4">
        <v>82.95</v>
      </c>
      <c r="K8" s="4">
        <v>82.97</v>
      </c>
      <c r="L8" s="4">
        <v>0.1216</v>
      </c>
      <c r="M8" s="4">
        <v>136</v>
      </c>
      <c r="N8" s="4">
        <v>175242</v>
      </c>
      <c r="O8" s="4">
        <v>0.34989999999999999</v>
      </c>
      <c r="P8" s="4">
        <v>22.5443</v>
      </c>
      <c r="Q8" s="4">
        <v>2.88</v>
      </c>
      <c r="R8" s="4">
        <v>185.41</v>
      </c>
      <c r="S8" s="4">
        <v>1.132E-2</v>
      </c>
    </row>
    <row r="9" spans="1:32" x14ac:dyDescent="0.2">
      <c r="A9" s="4">
        <v>50</v>
      </c>
      <c r="B9" s="4">
        <v>43</v>
      </c>
      <c r="C9" s="4">
        <v>37</v>
      </c>
      <c r="D9" s="4">
        <v>350</v>
      </c>
      <c r="E9" s="4">
        <v>21</v>
      </c>
      <c r="F9" s="4">
        <v>32</v>
      </c>
      <c r="G9" s="4">
        <v>0.01</v>
      </c>
      <c r="H9" s="4">
        <v>83.14</v>
      </c>
      <c r="I9" s="4">
        <v>82.96</v>
      </c>
      <c r="J9" s="4">
        <v>82.93</v>
      </c>
      <c r="K9" s="4">
        <v>82.92</v>
      </c>
      <c r="L9" s="4">
        <v>7.1099999999999997E-2</v>
      </c>
      <c r="M9" s="4">
        <v>143</v>
      </c>
      <c r="N9" s="4">
        <v>44618</v>
      </c>
      <c r="O9" s="4">
        <v>0.34989999999999999</v>
      </c>
      <c r="P9" s="4">
        <v>22.5443</v>
      </c>
      <c r="Q9" s="4">
        <v>4.92</v>
      </c>
      <c r="R9" s="4">
        <v>317.20999999999998</v>
      </c>
      <c r="S9" s="4">
        <v>3.2000000000000003E-4</v>
      </c>
      <c r="V9" t="s">
        <v>24</v>
      </c>
      <c r="W9">
        <v>50</v>
      </c>
      <c r="X9">
        <v>100</v>
      </c>
      <c r="Y9">
        <v>200</v>
      </c>
      <c r="Z9">
        <v>500</v>
      </c>
    </row>
    <row r="10" spans="1:32" x14ac:dyDescent="0.2">
      <c r="A10" s="4">
        <v>50</v>
      </c>
      <c r="B10" s="4">
        <v>43</v>
      </c>
      <c r="C10" s="4">
        <v>37</v>
      </c>
      <c r="D10" s="4">
        <v>350</v>
      </c>
      <c r="E10" s="4">
        <v>81</v>
      </c>
      <c r="F10" s="4">
        <v>32</v>
      </c>
      <c r="G10" s="4">
        <v>0.01</v>
      </c>
      <c r="H10" s="4">
        <v>83.14</v>
      </c>
      <c r="I10" s="4">
        <v>82.93</v>
      </c>
      <c r="J10" s="4">
        <v>82.95</v>
      </c>
      <c r="K10" s="4">
        <v>82.92</v>
      </c>
      <c r="L10" s="4">
        <v>9.0899999999999995E-2</v>
      </c>
      <c r="M10" s="4">
        <v>149</v>
      </c>
      <c r="N10" s="4">
        <v>169418</v>
      </c>
      <c r="O10" s="4">
        <v>0.34989999999999999</v>
      </c>
      <c r="P10" s="4">
        <v>22.5443</v>
      </c>
      <c r="Q10" s="4">
        <v>3.85</v>
      </c>
      <c r="R10" s="4">
        <v>248.04</v>
      </c>
      <c r="S10" s="4">
        <v>2.3859999999999999E-2</v>
      </c>
      <c r="V10" t="s">
        <v>19</v>
      </c>
      <c r="W10">
        <f>MIN(H2:H29)</f>
        <v>80.319999999999993</v>
      </c>
      <c r="X10">
        <f>MIN(H30:H57)</f>
        <v>88.78</v>
      </c>
      <c r="Y10">
        <f>MIN(H58:I85)</f>
        <v>89.93</v>
      </c>
      <c r="Z10">
        <f>MIN(H86:H113)</f>
        <v>92.43</v>
      </c>
    </row>
    <row r="11" spans="1:32" x14ac:dyDescent="0.2">
      <c r="A11" s="4">
        <v>50</v>
      </c>
      <c r="B11" s="4">
        <v>43</v>
      </c>
      <c r="C11" s="4">
        <v>37</v>
      </c>
      <c r="D11" s="4">
        <v>350</v>
      </c>
      <c r="E11" s="4">
        <v>71</v>
      </c>
      <c r="F11" s="4">
        <v>64</v>
      </c>
      <c r="G11" s="4">
        <v>0.01</v>
      </c>
      <c r="H11" s="4">
        <v>83.07</v>
      </c>
      <c r="I11" s="4">
        <v>82.94</v>
      </c>
      <c r="J11" s="4">
        <v>82.81</v>
      </c>
      <c r="K11" s="4">
        <v>82.82</v>
      </c>
      <c r="L11" s="4">
        <v>0.1174</v>
      </c>
      <c r="M11" s="4">
        <v>105</v>
      </c>
      <c r="N11" s="4">
        <v>588042</v>
      </c>
      <c r="O11" s="4">
        <v>0.34989999999999999</v>
      </c>
      <c r="P11" s="4">
        <v>22.5443</v>
      </c>
      <c r="Q11" s="4">
        <v>2.98</v>
      </c>
      <c r="R11" s="4">
        <v>192.08</v>
      </c>
      <c r="S11" s="4">
        <v>3.1E-4</v>
      </c>
      <c r="V11" t="s">
        <v>20</v>
      </c>
      <c r="W11">
        <f>MIN(I2:I29)</f>
        <v>80.150000000000006</v>
      </c>
      <c r="X11">
        <f>MIN(I30:I57)</f>
        <v>88.67</v>
      </c>
      <c r="Y11">
        <f>MIN(H58:I85)</f>
        <v>89.93</v>
      </c>
      <c r="Z11">
        <f>MIN(I86:I113)</f>
        <v>92.35</v>
      </c>
    </row>
    <row r="12" spans="1:32" x14ac:dyDescent="0.2">
      <c r="A12" s="4">
        <v>50</v>
      </c>
      <c r="B12" s="4">
        <v>43</v>
      </c>
      <c r="C12" s="4">
        <v>37</v>
      </c>
      <c r="D12" s="4">
        <v>350</v>
      </c>
      <c r="E12" s="4">
        <v>71</v>
      </c>
      <c r="F12" s="4">
        <v>64</v>
      </c>
      <c r="G12" s="4">
        <v>1E-3</v>
      </c>
      <c r="H12" s="4">
        <v>83.04</v>
      </c>
      <c r="I12" s="4">
        <v>82.87</v>
      </c>
      <c r="J12" s="4">
        <v>82.81</v>
      </c>
      <c r="K12" s="4">
        <v>82.81</v>
      </c>
      <c r="L12" s="4">
        <v>0.1172</v>
      </c>
      <c r="M12" s="4">
        <v>104</v>
      </c>
      <c r="N12" s="4">
        <v>588042</v>
      </c>
      <c r="O12" s="4">
        <v>0.34989999999999999</v>
      </c>
      <c r="P12" s="4">
        <v>22.5443</v>
      </c>
      <c r="Q12" s="4">
        <v>2.99</v>
      </c>
      <c r="R12" s="4">
        <v>192.44</v>
      </c>
      <c r="S12" s="4">
        <v>8.0000000000000007E-5</v>
      </c>
      <c r="V12" t="s">
        <v>21</v>
      </c>
      <c r="W12">
        <f>MIN(J2:J29)</f>
        <v>80.05</v>
      </c>
      <c r="X12">
        <f>MIN(J30:J57)</f>
        <v>88.61</v>
      </c>
      <c r="Y12">
        <f>MIN(J58:J85)</f>
        <v>89.87</v>
      </c>
      <c r="Z12">
        <f>MIN(J86:J113)</f>
        <v>92.34</v>
      </c>
    </row>
    <row r="13" spans="1:32" x14ac:dyDescent="0.2">
      <c r="A13" s="4">
        <v>50</v>
      </c>
      <c r="B13" s="4">
        <v>43</v>
      </c>
      <c r="C13" s="4">
        <v>37</v>
      </c>
      <c r="D13" s="4">
        <v>350</v>
      </c>
      <c r="E13" s="4">
        <v>41</v>
      </c>
      <c r="F13" s="4">
        <v>32</v>
      </c>
      <c r="G13" s="4">
        <v>1E-3</v>
      </c>
      <c r="H13" s="4">
        <v>83.03</v>
      </c>
      <c r="I13" s="4">
        <v>82.88</v>
      </c>
      <c r="J13" s="4">
        <v>82.85</v>
      </c>
      <c r="K13" s="4">
        <v>82.84</v>
      </c>
      <c r="L13" s="4">
        <v>6.5100000000000005E-2</v>
      </c>
      <c r="M13" s="4">
        <v>152</v>
      </c>
      <c r="N13" s="4">
        <v>86218</v>
      </c>
      <c r="O13" s="4">
        <v>0.34989999999999999</v>
      </c>
      <c r="P13" s="4">
        <v>22.5443</v>
      </c>
      <c r="Q13" s="4">
        <v>5.37</v>
      </c>
      <c r="R13" s="4">
        <v>346.36</v>
      </c>
      <c r="S13" s="4">
        <v>6.9999999999999999E-4</v>
      </c>
      <c r="V13" t="s">
        <v>22</v>
      </c>
      <c r="W13">
        <f>MIN(K2:K29)</f>
        <v>80.05</v>
      </c>
      <c r="X13">
        <f>MIN(K30:K57)</f>
        <v>88.62</v>
      </c>
      <c r="Y13">
        <f>MIN(K58:K85)</f>
        <v>89.88</v>
      </c>
      <c r="Z13">
        <f>MIN(K86:K113)</f>
        <v>92.33</v>
      </c>
    </row>
    <row r="14" spans="1:32" x14ac:dyDescent="0.2">
      <c r="A14" s="4">
        <v>50</v>
      </c>
      <c r="B14" s="4">
        <v>43</v>
      </c>
      <c r="C14" s="4">
        <v>37</v>
      </c>
      <c r="D14" s="4">
        <v>350</v>
      </c>
      <c r="E14" s="4">
        <v>31</v>
      </c>
      <c r="F14" s="4">
        <v>32</v>
      </c>
      <c r="G14" s="4">
        <v>1E-3</v>
      </c>
      <c r="H14" s="4">
        <v>83.03</v>
      </c>
      <c r="I14" s="4">
        <v>82.81</v>
      </c>
      <c r="J14" s="4">
        <v>82.83</v>
      </c>
      <c r="K14" s="4">
        <v>82.8</v>
      </c>
      <c r="L14" s="4">
        <v>7.2099999999999997E-2</v>
      </c>
      <c r="M14" s="4">
        <v>153</v>
      </c>
      <c r="N14" s="4">
        <v>65418</v>
      </c>
      <c r="O14" s="4">
        <v>0.34989999999999999</v>
      </c>
      <c r="P14" s="4">
        <v>22.5443</v>
      </c>
      <c r="Q14" s="4">
        <v>4.8499999999999996</v>
      </c>
      <c r="R14" s="4">
        <v>312.55</v>
      </c>
      <c r="S14" s="4">
        <v>3.9699999999999996E-3</v>
      </c>
      <c r="V14" t="s">
        <v>23</v>
      </c>
      <c r="W14" s="6">
        <f>MIN(L2:L29)</f>
        <v>6.5100000000000005E-2</v>
      </c>
      <c r="X14" s="6">
        <f>MIN(L30:L57)</f>
        <v>6.6500000000000004E-2</v>
      </c>
      <c r="Y14" s="6">
        <f>MIN(L58:L85)</f>
        <v>6.9400000000000003E-2</v>
      </c>
      <c r="Z14" s="6">
        <f>MIN(L86:L113)</f>
        <v>7.1400000000000005E-2</v>
      </c>
    </row>
    <row r="15" spans="1:32" x14ac:dyDescent="0.2">
      <c r="A15" s="4">
        <v>50</v>
      </c>
      <c r="B15" s="4">
        <v>43</v>
      </c>
      <c r="C15" s="4">
        <v>37</v>
      </c>
      <c r="D15" s="4">
        <v>350</v>
      </c>
      <c r="E15" s="4">
        <v>71</v>
      </c>
      <c r="F15" s="4">
        <v>32</v>
      </c>
      <c r="G15" s="4">
        <v>1E-3</v>
      </c>
      <c r="H15" s="4">
        <v>82.99</v>
      </c>
      <c r="I15" s="4">
        <v>82.89</v>
      </c>
      <c r="J15" s="4">
        <v>82.78</v>
      </c>
      <c r="K15" s="4">
        <v>82.81</v>
      </c>
      <c r="L15" s="4">
        <v>8.6199999999999999E-2</v>
      </c>
      <c r="M15" s="4">
        <v>139</v>
      </c>
      <c r="N15" s="4">
        <v>148618</v>
      </c>
      <c r="O15" s="4">
        <v>0.34989999999999999</v>
      </c>
      <c r="P15" s="4">
        <v>22.5443</v>
      </c>
      <c r="Q15" s="4">
        <v>4.0599999999999996</v>
      </c>
      <c r="R15" s="4">
        <v>261.60000000000002</v>
      </c>
      <c r="S15" s="4">
        <v>2.0129999999999999E-2</v>
      </c>
    </row>
    <row r="16" spans="1:32" x14ac:dyDescent="0.2">
      <c r="A16" s="4">
        <v>50</v>
      </c>
      <c r="B16" s="4">
        <v>43</v>
      </c>
      <c r="C16" s="4">
        <v>37</v>
      </c>
      <c r="D16" s="4">
        <v>350</v>
      </c>
      <c r="E16" s="4">
        <v>31</v>
      </c>
      <c r="F16" s="4">
        <v>32</v>
      </c>
      <c r="G16" s="4">
        <v>0.01</v>
      </c>
      <c r="H16" s="4">
        <v>82.87</v>
      </c>
      <c r="I16" s="4">
        <v>82.81</v>
      </c>
      <c r="J16" s="4">
        <v>82.65</v>
      </c>
      <c r="K16" s="4">
        <v>82.69</v>
      </c>
      <c r="L16" s="4">
        <v>6.8599999999999994E-2</v>
      </c>
      <c r="M16" s="4">
        <v>85</v>
      </c>
      <c r="N16" s="4">
        <v>65418</v>
      </c>
      <c r="O16" s="4">
        <v>0.34989999999999999</v>
      </c>
      <c r="P16" s="4">
        <v>22.5443</v>
      </c>
      <c r="Q16" s="4">
        <v>5.0999999999999996</v>
      </c>
      <c r="R16" s="4">
        <v>328.44</v>
      </c>
      <c r="S16" s="4">
        <v>1.1900000000000001E-3</v>
      </c>
      <c r="V16" t="s">
        <v>25</v>
      </c>
      <c r="W16">
        <v>50</v>
      </c>
      <c r="X16">
        <v>100</v>
      </c>
      <c r="Y16">
        <v>200</v>
      </c>
      <c r="Z16">
        <v>500</v>
      </c>
    </row>
    <row r="17" spans="1:26" x14ac:dyDescent="0.2">
      <c r="A17" s="4">
        <v>50</v>
      </c>
      <c r="B17" s="4">
        <v>43</v>
      </c>
      <c r="C17" s="4">
        <v>37</v>
      </c>
      <c r="D17" s="4">
        <v>350</v>
      </c>
      <c r="E17" s="4">
        <v>21</v>
      </c>
      <c r="F17" s="4">
        <v>32</v>
      </c>
      <c r="G17" s="4">
        <v>1E-3</v>
      </c>
      <c r="H17" s="4">
        <v>82.87</v>
      </c>
      <c r="I17" s="4">
        <v>82.66</v>
      </c>
      <c r="J17" s="4">
        <v>82.64</v>
      </c>
      <c r="K17" s="4">
        <v>82.64</v>
      </c>
      <c r="L17" s="4">
        <v>0.1244</v>
      </c>
      <c r="M17" s="4">
        <v>147</v>
      </c>
      <c r="N17" s="4">
        <v>44618</v>
      </c>
      <c r="O17" s="4">
        <v>0.34989999999999999</v>
      </c>
      <c r="P17" s="4">
        <v>22.5443</v>
      </c>
      <c r="Q17" s="4">
        <v>2.81</v>
      </c>
      <c r="R17" s="4">
        <v>181.22</v>
      </c>
      <c r="S17" s="4">
        <v>8.7100000000000007E-3</v>
      </c>
      <c r="V17" t="s">
        <v>19</v>
      </c>
      <c r="W17">
        <f>MAX(H2:H29)</f>
        <v>83.46</v>
      </c>
      <c r="X17">
        <f>MAX(H30:H57)</f>
        <v>93.8</v>
      </c>
      <c r="Y17">
        <f>MAX(H58:H85)</f>
        <v>96.17</v>
      </c>
      <c r="Z17">
        <f>MAX(H86:H113)</f>
        <v>98.6</v>
      </c>
    </row>
    <row r="18" spans="1:26" x14ac:dyDescent="0.2">
      <c r="A18" s="4">
        <v>50</v>
      </c>
      <c r="B18" s="4">
        <v>43</v>
      </c>
      <c r="C18" s="4">
        <v>37</v>
      </c>
      <c r="D18" s="4">
        <v>350</v>
      </c>
      <c r="E18" s="4">
        <v>91</v>
      </c>
      <c r="F18" s="4">
        <v>32</v>
      </c>
      <c r="G18" s="4">
        <v>1E-3</v>
      </c>
      <c r="H18" s="4">
        <v>82.82</v>
      </c>
      <c r="I18" s="4">
        <v>82.74</v>
      </c>
      <c r="J18" s="4">
        <v>82.63</v>
      </c>
      <c r="K18" s="4">
        <v>82.66</v>
      </c>
      <c r="L18" s="4">
        <v>7.6200000000000004E-2</v>
      </c>
      <c r="M18" s="4">
        <v>150</v>
      </c>
      <c r="N18" s="4">
        <v>190218</v>
      </c>
      <c r="O18" s="4">
        <v>0.34989999999999999</v>
      </c>
      <c r="P18" s="4">
        <v>22.5443</v>
      </c>
      <c r="Q18" s="4">
        <v>4.59</v>
      </c>
      <c r="R18" s="4">
        <v>295.82</v>
      </c>
      <c r="S18" s="4">
        <v>7.7400000000000004E-3</v>
      </c>
      <c r="V18" t="s">
        <v>20</v>
      </c>
      <c r="W18">
        <f>MAX(I2:I29)</f>
        <v>83.29</v>
      </c>
      <c r="X18">
        <f>MAX(I30:I57)</f>
        <v>93.79</v>
      </c>
      <c r="Y18">
        <f>MAX(I58:I85)</f>
        <v>96.12</v>
      </c>
      <c r="Z18">
        <f>MAX(I86:I113)</f>
        <v>98.58</v>
      </c>
    </row>
    <row r="19" spans="1:26" x14ac:dyDescent="0.2">
      <c r="A19" s="4">
        <v>50</v>
      </c>
      <c r="B19" s="4">
        <v>43</v>
      </c>
      <c r="C19" s="4">
        <v>37</v>
      </c>
      <c r="D19" s="4">
        <v>350</v>
      </c>
      <c r="E19" s="4">
        <v>81</v>
      </c>
      <c r="F19" s="4">
        <v>64</v>
      </c>
      <c r="G19" s="4">
        <v>1E-3</v>
      </c>
      <c r="H19" s="4">
        <v>82.8</v>
      </c>
      <c r="I19" s="4">
        <v>82.59</v>
      </c>
      <c r="J19" s="4">
        <v>82.63</v>
      </c>
      <c r="K19" s="4">
        <v>82.59</v>
      </c>
      <c r="L19" s="4">
        <v>0.13200000000000001</v>
      </c>
      <c r="M19" s="4">
        <v>109</v>
      </c>
      <c r="N19" s="4">
        <v>670602</v>
      </c>
      <c r="O19" s="4">
        <v>0.34989999999999999</v>
      </c>
      <c r="P19" s="4">
        <v>22.5443</v>
      </c>
      <c r="Q19" s="4">
        <v>2.65</v>
      </c>
      <c r="R19" s="4">
        <v>170.82</v>
      </c>
      <c r="S19" s="4">
        <v>9.0000000000000006E-5</v>
      </c>
      <c r="V19" t="s">
        <v>21</v>
      </c>
      <c r="W19">
        <f>MAX(J2:J29)</f>
        <v>83.27</v>
      </c>
      <c r="X19">
        <f>MAX(J30:J57)</f>
        <v>93.73</v>
      </c>
      <c r="Y19">
        <f>MAX(J58:J85)</f>
        <v>96.15</v>
      </c>
      <c r="Z19">
        <f>MAX(J86:J113)</f>
        <v>98.59</v>
      </c>
    </row>
    <row r="20" spans="1:26" x14ac:dyDescent="0.2">
      <c r="A20" s="4">
        <v>50</v>
      </c>
      <c r="B20" s="4">
        <v>43</v>
      </c>
      <c r="C20" s="4">
        <v>37</v>
      </c>
      <c r="D20" s="4">
        <v>350</v>
      </c>
      <c r="E20" s="4">
        <v>91</v>
      </c>
      <c r="F20" s="4">
        <v>64</v>
      </c>
      <c r="G20" s="4">
        <v>0.01</v>
      </c>
      <c r="H20" s="4">
        <v>82.8</v>
      </c>
      <c r="I20" s="4">
        <v>82.62</v>
      </c>
      <c r="J20" s="4">
        <v>82.59</v>
      </c>
      <c r="K20" s="4">
        <v>82.58</v>
      </c>
      <c r="L20" s="4">
        <v>0.1457</v>
      </c>
      <c r="M20" s="4">
        <v>140</v>
      </c>
      <c r="N20" s="4">
        <v>753162</v>
      </c>
      <c r="O20" s="4">
        <v>0.34989999999999999</v>
      </c>
      <c r="P20" s="4">
        <v>22.5443</v>
      </c>
      <c r="Q20" s="4">
        <v>2.4</v>
      </c>
      <c r="R20" s="4">
        <v>154.72999999999999</v>
      </c>
      <c r="S20" s="4">
        <v>1.6000000000000001E-4</v>
      </c>
      <c r="V20" t="s">
        <v>22</v>
      </c>
      <c r="W20">
        <f>MAX(K2:K29)</f>
        <v>83.24</v>
      </c>
      <c r="X20">
        <f>MAX(K30:K57)</f>
        <v>93.75</v>
      </c>
      <c r="Y20">
        <f>MAX(K58:K85)</f>
        <v>96.13</v>
      </c>
      <c r="Z20">
        <f>MAX(K86:K113)</f>
        <v>98.59</v>
      </c>
    </row>
    <row r="21" spans="1:26" x14ac:dyDescent="0.2">
      <c r="A21" s="4">
        <v>50</v>
      </c>
      <c r="B21" s="4">
        <v>43</v>
      </c>
      <c r="C21" s="4">
        <v>37</v>
      </c>
      <c r="D21" s="4">
        <v>350</v>
      </c>
      <c r="E21" s="4">
        <v>41</v>
      </c>
      <c r="F21" s="4">
        <v>64</v>
      </c>
      <c r="G21" s="4">
        <v>1E-3</v>
      </c>
      <c r="H21" s="4">
        <v>82.7</v>
      </c>
      <c r="I21" s="4">
        <v>82.49</v>
      </c>
      <c r="J21" s="4">
        <v>82.48</v>
      </c>
      <c r="K21" s="4">
        <v>82.48</v>
      </c>
      <c r="L21" s="4">
        <v>7.9399999999999998E-2</v>
      </c>
      <c r="M21" s="4">
        <v>106</v>
      </c>
      <c r="N21" s="4">
        <v>340362</v>
      </c>
      <c r="O21" s="4">
        <v>0.34989999999999999</v>
      </c>
      <c r="P21" s="4">
        <v>22.5443</v>
      </c>
      <c r="Q21" s="4">
        <v>4.4000000000000004</v>
      </c>
      <c r="R21" s="4">
        <v>283.83</v>
      </c>
      <c r="S21" s="4">
        <v>7.7200000000000003E-3</v>
      </c>
      <c r="V21" t="s">
        <v>23</v>
      </c>
      <c r="W21" s="6">
        <f>MAX(L2:L29)</f>
        <v>0.14580000000000001</v>
      </c>
      <c r="X21" s="6">
        <f>MAX(L30:L57)</f>
        <v>0.18129999999999999</v>
      </c>
      <c r="Y21" s="6">
        <f>MAX(L58:L85)</f>
        <v>0.30690000000000001</v>
      </c>
      <c r="Z21" s="6">
        <f>MAX(L86:L113)</f>
        <v>0.69599999999999995</v>
      </c>
    </row>
    <row r="22" spans="1:26" x14ac:dyDescent="0.2">
      <c r="A22" s="4">
        <v>50</v>
      </c>
      <c r="B22" s="4">
        <v>43</v>
      </c>
      <c r="C22" s="4">
        <v>37</v>
      </c>
      <c r="D22" s="4">
        <v>350</v>
      </c>
      <c r="E22" s="4">
        <v>81</v>
      </c>
      <c r="F22" s="4">
        <v>32</v>
      </c>
      <c r="G22" s="4">
        <v>1E-3</v>
      </c>
      <c r="H22" s="4">
        <v>82.63</v>
      </c>
      <c r="I22" s="4">
        <v>82.45</v>
      </c>
      <c r="J22" s="4">
        <v>82.42</v>
      </c>
      <c r="K22" s="4">
        <v>82.41</v>
      </c>
      <c r="L22" s="4">
        <v>8.9499999999999996E-2</v>
      </c>
      <c r="M22" s="4">
        <v>94</v>
      </c>
      <c r="N22" s="4">
        <v>169418</v>
      </c>
      <c r="O22" s="4">
        <v>0.34989999999999999</v>
      </c>
      <c r="P22" s="4">
        <v>22.5443</v>
      </c>
      <c r="Q22" s="4">
        <v>3.91</v>
      </c>
      <c r="R22" s="4">
        <v>251.92</v>
      </c>
      <c r="S22" s="4">
        <v>1.8800000000000001E-2</v>
      </c>
    </row>
    <row r="23" spans="1:26" x14ac:dyDescent="0.2">
      <c r="A23" s="4">
        <v>50</v>
      </c>
      <c r="B23" s="4">
        <v>43</v>
      </c>
      <c r="C23" s="4">
        <v>37</v>
      </c>
      <c r="D23" s="4">
        <v>350</v>
      </c>
      <c r="E23" s="4">
        <v>71</v>
      </c>
      <c r="F23" s="4">
        <v>32</v>
      </c>
      <c r="G23" s="4">
        <v>0.01</v>
      </c>
      <c r="H23" s="4">
        <v>82.57</v>
      </c>
      <c r="I23" s="4">
        <v>82.48</v>
      </c>
      <c r="J23" s="4">
        <v>82.42</v>
      </c>
      <c r="K23" s="4">
        <v>82.36</v>
      </c>
      <c r="L23" s="4">
        <v>7.0800000000000002E-2</v>
      </c>
      <c r="M23" s="4">
        <v>94</v>
      </c>
      <c r="N23" s="4">
        <v>148618</v>
      </c>
      <c r="O23" s="4">
        <v>0.34989999999999999</v>
      </c>
      <c r="P23" s="4">
        <v>22.5443</v>
      </c>
      <c r="Q23" s="4">
        <v>4.9400000000000004</v>
      </c>
      <c r="R23" s="4">
        <v>318.42</v>
      </c>
      <c r="S23" s="4">
        <v>9.2000000000000003E-4</v>
      </c>
    </row>
    <row r="24" spans="1:26" x14ac:dyDescent="0.2">
      <c r="A24" s="4">
        <v>50</v>
      </c>
      <c r="B24" s="4">
        <v>43</v>
      </c>
      <c r="C24" s="4">
        <v>37</v>
      </c>
      <c r="D24" s="4">
        <v>350</v>
      </c>
      <c r="E24" s="4">
        <v>91</v>
      </c>
      <c r="F24" s="4">
        <v>32</v>
      </c>
      <c r="G24" s="4">
        <v>0.01</v>
      </c>
      <c r="H24" s="4">
        <v>82.51</v>
      </c>
      <c r="I24" s="4">
        <v>82.42</v>
      </c>
      <c r="J24" s="4">
        <v>82.3</v>
      </c>
      <c r="K24" s="4">
        <v>82.34</v>
      </c>
      <c r="L24" s="4">
        <v>7.5999999999999998E-2</v>
      </c>
      <c r="M24" s="4">
        <v>91</v>
      </c>
      <c r="N24" s="4">
        <v>190218</v>
      </c>
      <c r="O24" s="4">
        <v>0.34989999999999999</v>
      </c>
      <c r="P24" s="4">
        <v>22.5443</v>
      </c>
      <c r="Q24" s="4">
        <v>4.5999999999999996</v>
      </c>
      <c r="R24" s="4">
        <v>296.56</v>
      </c>
      <c r="S24" s="4">
        <v>1.916E-2</v>
      </c>
    </row>
    <row r="25" spans="1:26" x14ac:dyDescent="0.2">
      <c r="A25" s="4">
        <v>50</v>
      </c>
      <c r="B25" s="4">
        <v>43</v>
      </c>
      <c r="C25" s="4">
        <v>37</v>
      </c>
      <c r="D25" s="4">
        <v>350</v>
      </c>
      <c r="E25" s="4">
        <v>81</v>
      </c>
      <c r="F25" s="4">
        <v>64</v>
      </c>
      <c r="G25" s="4">
        <v>0.01</v>
      </c>
      <c r="H25" s="4">
        <v>82.43</v>
      </c>
      <c r="I25" s="4">
        <v>82.32</v>
      </c>
      <c r="J25" s="4">
        <v>82.19</v>
      </c>
      <c r="K25" s="4">
        <v>82.16</v>
      </c>
      <c r="L25" s="4">
        <v>0.13189999999999999</v>
      </c>
      <c r="M25" s="4">
        <v>112</v>
      </c>
      <c r="N25" s="4">
        <v>670602</v>
      </c>
      <c r="O25" s="4">
        <v>0.34989999999999999</v>
      </c>
      <c r="P25" s="4">
        <v>22.5443</v>
      </c>
      <c r="Q25" s="4">
        <v>2.65</v>
      </c>
      <c r="R25" s="4">
        <v>170.89</v>
      </c>
      <c r="S25" s="4">
        <v>1E-4</v>
      </c>
    </row>
    <row r="26" spans="1:26" x14ac:dyDescent="0.2">
      <c r="A26" s="4">
        <v>50</v>
      </c>
      <c r="B26" s="4">
        <v>43</v>
      </c>
      <c r="C26" s="4">
        <v>37</v>
      </c>
      <c r="D26" s="4">
        <v>350</v>
      </c>
      <c r="E26" s="4">
        <v>11</v>
      </c>
      <c r="F26" s="4">
        <v>64</v>
      </c>
      <c r="G26" s="4">
        <v>1E-3</v>
      </c>
      <c r="H26" s="4">
        <v>81.540000000000006</v>
      </c>
      <c r="I26" s="4">
        <v>81.42</v>
      </c>
      <c r="J26" s="4">
        <v>81.319999999999993</v>
      </c>
      <c r="K26" s="4">
        <v>81.34</v>
      </c>
      <c r="L26" s="4">
        <v>0.1004</v>
      </c>
      <c r="M26" s="4">
        <v>159</v>
      </c>
      <c r="N26" s="4">
        <v>92682</v>
      </c>
      <c r="O26" s="4">
        <v>0.34989999999999999</v>
      </c>
      <c r="P26" s="4">
        <v>22.5443</v>
      </c>
      <c r="Q26" s="4">
        <v>3.49</v>
      </c>
      <c r="R26" s="4">
        <v>224.63</v>
      </c>
      <c r="S26" s="4">
        <v>2.3879999999999998E-2</v>
      </c>
    </row>
    <row r="27" spans="1:26" x14ac:dyDescent="0.2">
      <c r="A27" s="4">
        <v>50</v>
      </c>
      <c r="B27" s="4">
        <v>43</v>
      </c>
      <c r="C27" s="4">
        <v>37</v>
      </c>
      <c r="D27" s="4">
        <v>350</v>
      </c>
      <c r="E27" s="4">
        <v>11</v>
      </c>
      <c r="F27" s="4">
        <v>64</v>
      </c>
      <c r="G27" s="4">
        <v>0.01</v>
      </c>
      <c r="H27" s="4">
        <v>81.11</v>
      </c>
      <c r="I27" s="4">
        <v>81.099999999999994</v>
      </c>
      <c r="J27" s="4">
        <v>80.849999999999994</v>
      </c>
      <c r="K27" s="4">
        <v>80.89</v>
      </c>
      <c r="L27" s="4">
        <v>8.5500000000000007E-2</v>
      </c>
      <c r="M27" s="4">
        <v>139</v>
      </c>
      <c r="N27" s="4">
        <v>92682</v>
      </c>
      <c r="O27" s="4">
        <v>0.34989999999999999</v>
      </c>
      <c r="P27" s="4">
        <v>22.5443</v>
      </c>
      <c r="Q27" s="4">
        <v>4.09</v>
      </c>
      <c r="R27" s="4">
        <v>263.77</v>
      </c>
      <c r="S27" s="4">
        <v>2.5669999999999998E-2</v>
      </c>
    </row>
    <row r="28" spans="1:26" x14ac:dyDescent="0.2">
      <c r="A28" s="4">
        <v>50</v>
      </c>
      <c r="B28" s="4">
        <v>43</v>
      </c>
      <c r="C28" s="4">
        <v>37</v>
      </c>
      <c r="D28" s="4">
        <v>350</v>
      </c>
      <c r="E28" s="4">
        <v>11</v>
      </c>
      <c r="F28" s="4">
        <v>32</v>
      </c>
      <c r="G28" s="4">
        <v>0.01</v>
      </c>
      <c r="H28" s="4">
        <v>80.930000000000007</v>
      </c>
      <c r="I28" s="4">
        <v>80.849999999999994</v>
      </c>
      <c r="J28" s="4">
        <v>80.69</v>
      </c>
      <c r="K28" s="4">
        <v>80.73</v>
      </c>
      <c r="L28" s="4">
        <v>6.8500000000000005E-2</v>
      </c>
      <c r="M28" s="4">
        <v>156</v>
      </c>
      <c r="N28" s="4">
        <v>23818</v>
      </c>
      <c r="O28" s="4">
        <v>0.34989999999999999</v>
      </c>
      <c r="P28" s="4">
        <v>22.5443</v>
      </c>
      <c r="Q28" s="4">
        <v>5.0999999999999996</v>
      </c>
      <c r="R28" s="4">
        <v>328.92</v>
      </c>
      <c r="S28" s="4">
        <v>1.3999999999999999E-4</v>
      </c>
    </row>
    <row r="29" spans="1:26" x14ac:dyDescent="0.2">
      <c r="A29" s="4">
        <v>50</v>
      </c>
      <c r="B29" s="4">
        <v>43</v>
      </c>
      <c r="C29" s="4">
        <v>37</v>
      </c>
      <c r="D29" s="4">
        <v>350</v>
      </c>
      <c r="E29" s="4">
        <v>11</v>
      </c>
      <c r="F29" s="4">
        <v>32</v>
      </c>
      <c r="G29" s="4">
        <v>1E-3</v>
      </c>
      <c r="H29" s="4">
        <v>80.319999999999993</v>
      </c>
      <c r="I29" s="4">
        <v>80.150000000000006</v>
      </c>
      <c r="J29" s="4">
        <v>80.05</v>
      </c>
      <c r="K29" s="4">
        <v>80.05</v>
      </c>
      <c r="L29" s="4">
        <v>7.6700000000000004E-2</v>
      </c>
      <c r="M29" s="4">
        <v>139</v>
      </c>
      <c r="N29" s="4">
        <v>23818</v>
      </c>
      <c r="O29" s="4">
        <v>0.34989999999999999</v>
      </c>
      <c r="P29" s="4">
        <v>22.5443</v>
      </c>
      <c r="Q29" s="4">
        <v>4.5599999999999996</v>
      </c>
      <c r="R29" s="4">
        <v>294.04000000000002</v>
      </c>
      <c r="S29" s="4">
        <v>1.456E-2</v>
      </c>
    </row>
    <row r="30" spans="1:26" x14ac:dyDescent="0.2">
      <c r="A30" s="3">
        <v>100</v>
      </c>
      <c r="B30" s="3">
        <v>17</v>
      </c>
      <c r="C30" s="3">
        <v>39</v>
      </c>
      <c r="D30" s="3">
        <v>450</v>
      </c>
      <c r="E30" s="3">
        <v>81</v>
      </c>
      <c r="F30" s="3">
        <v>64</v>
      </c>
      <c r="G30" s="3">
        <v>0.01</v>
      </c>
      <c r="H30" s="3">
        <v>93.8</v>
      </c>
      <c r="I30" s="3">
        <v>93.79</v>
      </c>
      <c r="J30" s="3">
        <v>93.73</v>
      </c>
      <c r="K30" s="3">
        <v>93.75</v>
      </c>
      <c r="L30" s="3">
        <v>0.1648</v>
      </c>
      <c r="M30" s="3">
        <v>111</v>
      </c>
      <c r="N30" s="3">
        <v>670602</v>
      </c>
      <c r="O30" s="3">
        <v>0.37230000000000002</v>
      </c>
      <c r="P30" s="3">
        <v>34.180300000000003</v>
      </c>
      <c r="Q30" s="3">
        <v>2.2599999999999998</v>
      </c>
      <c r="R30" s="3">
        <v>207.47</v>
      </c>
      <c r="S30" s="3">
        <v>4.0000000000000003E-5</v>
      </c>
    </row>
    <row r="31" spans="1:26" x14ac:dyDescent="0.2">
      <c r="A31" s="3">
        <v>100</v>
      </c>
      <c r="B31" s="3">
        <v>17</v>
      </c>
      <c r="C31" s="3">
        <v>39</v>
      </c>
      <c r="D31" s="3">
        <v>450</v>
      </c>
      <c r="E31" s="3">
        <v>91</v>
      </c>
      <c r="F31" s="3">
        <v>64</v>
      </c>
      <c r="G31" s="3">
        <v>0.01</v>
      </c>
      <c r="H31" s="3">
        <v>93.67</v>
      </c>
      <c r="I31" s="3">
        <v>93.66</v>
      </c>
      <c r="J31" s="3">
        <v>93.6</v>
      </c>
      <c r="K31" s="3">
        <v>93.62</v>
      </c>
      <c r="L31" s="3">
        <v>0.18129999999999999</v>
      </c>
      <c r="M31" s="3">
        <v>111</v>
      </c>
      <c r="N31" s="3">
        <v>753162</v>
      </c>
      <c r="O31" s="3">
        <v>0.37230000000000002</v>
      </c>
      <c r="P31" s="3">
        <v>34.180300000000003</v>
      </c>
      <c r="Q31" s="3">
        <v>2.0499999999999998</v>
      </c>
      <c r="R31" s="3">
        <v>188.5</v>
      </c>
      <c r="S31" s="3">
        <v>3.0000000000000001E-5</v>
      </c>
    </row>
    <row r="32" spans="1:26" x14ac:dyDescent="0.2">
      <c r="A32" s="3">
        <v>100</v>
      </c>
      <c r="B32" s="3">
        <v>17</v>
      </c>
      <c r="C32" s="3">
        <v>39</v>
      </c>
      <c r="D32" s="3">
        <v>450</v>
      </c>
      <c r="E32" s="3">
        <v>91</v>
      </c>
      <c r="F32" s="3">
        <v>32</v>
      </c>
      <c r="G32" s="3">
        <v>0.01</v>
      </c>
      <c r="H32" s="3">
        <v>93.66</v>
      </c>
      <c r="I32" s="3">
        <v>93.63</v>
      </c>
      <c r="J32" s="3">
        <v>93.6</v>
      </c>
      <c r="K32" s="3">
        <v>93.61</v>
      </c>
      <c r="L32" s="3">
        <v>0.10050000000000001</v>
      </c>
      <c r="M32" s="3">
        <v>87</v>
      </c>
      <c r="N32" s="3">
        <v>190218</v>
      </c>
      <c r="O32" s="3">
        <v>0.37230000000000002</v>
      </c>
      <c r="P32" s="3">
        <v>34.180300000000003</v>
      </c>
      <c r="Q32" s="3">
        <v>3.7</v>
      </c>
      <c r="R32" s="3">
        <v>340</v>
      </c>
      <c r="S32" s="3">
        <v>1.976E-2</v>
      </c>
    </row>
    <row r="33" spans="1:19" x14ac:dyDescent="0.2">
      <c r="A33" s="3">
        <v>100</v>
      </c>
      <c r="B33" s="3">
        <v>17</v>
      </c>
      <c r="C33" s="3">
        <v>39</v>
      </c>
      <c r="D33" s="3">
        <v>450</v>
      </c>
      <c r="E33" s="3">
        <v>71</v>
      </c>
      <c r="F33" s="3">
        <v>64</v>
      </c>
      <c r="G33" s="3">
        <v>1E-3</v>
      </c>
      <c r="H33" s="3">
        <v>93.66</v>
      </c>
      <c r="I33" s="3">
        <v>93.63</v>
      </c>
      <c r="J33" s="3">
        <v>93.58</v>
      </c>
      <c r="K33" s="3">
        <v>93.6</v>
      </c>
      <c r="L33" s="3">
        <v>0.1467</v>
      </c>
      <c r="M33" s="3">
        <v>163</v>
      </c>
      <c r="N33" s="3">
        <v>588042</v>
      </c>
      <c r="O33" s="3">
        <v>0.37230000000000002</v>
      </c>
      <c r="P33" s="3">
        <v>34.180300000000003</v>
      </c>
      <c r="Q33" s="3">
        <v>2.54</v>
      </c>
      <c r="R33" s="3">
        <v>232.92</v>
      </c>
      <c r="S33" s="3">
        <v>1.3999999999999999E-4</v>
      </c>
    </row>
    <row r="34" spans="1:19" x14ac:dyDescent="0.2">
      <c r="A34" s="3">
        <v>100</v>
      </c>
      <c r="B34" s="3">
        <v>17</v>
      </c>
      <c r="C34" s="3">
        <v>39</v>
      </c>
      <c r="D34" s="3">
        <v>450</v>
      </c>
      <c r="E34" s="3">
        <v>81</v>
      </c>
      <c r="F34" s="3">
        <v>64</v>
      </c>
      <c r="G34" s="3">
        <v>1E-3</v>
      </c>
      <c r="H34" s="3">
        <v>93.62</v>
      </c>
      <c r="I34" s="3">
        <v>93.56</v>
      </c>
      <c r="J34" s="3">
        <v>93.55</v>
      </c>
      <c r="K34" s="3">
        <v>93.55</v>
      </c>
      <c r="L34" s="3">
        <v>0.1646</v>
      </c>
      <c r="M34" s="3">
        <v>110</v>
      </c>
      <c r="N34" s="3">
        <v>670602</v>
      </c>
      <c r="O34" s="3">
        <v>0.37230000000000002</v>
      </c>
      <c r="P34" s="3">
        <v>34.180300000000003</v>
      </c>
      <c r="Q34" s="3">
        <v>2.2599999999999998</v>
      </c>
      <c r="R34" s="3">
        <v>207.72</v>
      </c>
      <c r="S34" s="3">
        <v>1.9000000000000001E-4</v>
      </c>
    </row>
    <row r="35" spans="1:19" x14ac:dyDescent="0.2">
      <c r="A35" s="3">
        <v>100</v>
      </c>
      <c r="B35" s="3">
        <v>17</v>
      </c>
      <c r="C35" s="3">
        <v>39</v>
      </c>
      <c r="D35" s="3">
        <v>450</v>
      </c>
      <c r="E35" s="3">
        <v>91</v>
      </c>
      <c r="F35" s="3">
        <v>64</v>
      </c>
      <c r="G35" s="3">
        <v>1E-3</v>
      </c>
      <c r="H35" s="3">
        <v>93.59</v>
      </c>
      <c r="I35" s="3">
        <v>93.57</v>
      </c>
      <c r="J35" s="3">
        <v>93.52</v>
      </c>
      <c r="K35" s="3">
        <v>93.54</v>
      </c>
      <c r="L35" s="3">
        <v>0.18129999999999999</v>
      </c>
      <c r="M35" s="3">
        <v>86</v>
      </c>
      <c r="N35" s="3">
        <v>753162</v>
      </c>
      <c r="O35" s="3">
        <v>0.37230000000000002</v>
      </c>
      <c r="P35" s="3">
        <v>34.180300000000003</v>
      </c>
      <c r="Q35" s="3">
        <v>2.0499999999999998</v>
      </c>
      <c r="R35" s="3">
        <v>188.51</v>
      </c>
      <c r="S35" s="3">
        <v>3.0000000000000001E-5</v>
      </c>
    </row>
    <row r="36" spans="1:19" x14ac:dyDescent="0.2">
      <c r="A36" s="3">
        <v>100</v>
      </c>
      <c r="B36" s="3">
        <v>17</v>
      </c>
      <c r="C36" s="3">
        <v>39</v>
      </c>
      <c r="D36" s="3">
        <v>450</v>
      </c>
      <c r="E36" s="3">
        <v>71</v>
      </c>
      <c r="F36" s="3">
        <v>64</v>
      </c>
      <c r="G36" s="3">
        <v>0.01</v>
      </c>
      <c r="H36" s="3">
        <v>93.58</v>
      </c>
      <c r="I36" s="3">
        <v>93.54</v>
      </c>
      <c r="J36" s="3">
        <v>93.51</v>
      </c>
      <c r="K36" s="3">
        <v>93.52</v>
      </c>
      <c r="L36" s="3">
        <v>0.14710000000000001</v>
      </c>
      <c r="M36" s="3">
        <v>113</v>
      </c>
      <c r="N36" s="3">
        <v>588042</v>
      </c>
      <c r="O36" s="3">
        <v>0.37230000000000002</v>
      </c>
      <c r="P36" s="3">
        <v>34.180300000000003</v>
      </c>
      <c r="Q36" s="3">
        <v>2.5299999999999998</v>
      </c>
      <c r="R36" s="3">
        <v>232.42</v>
      </c>
      <c r="S36" s="3">
        <v>5.2999999999999998E-4</v>
      </c>
    </row>
    <row r="37" spans="1:19" x14ac:dyDescent="0.2">
      <c r="A37" s="3">
        <v>100</v>
      </c>
      <c r="B37" s="3">
        <v>17</v>
      </c>
      <c r="C37" s="3">
        <v>39</v>
      </c>
      <c r="D37" s="3">
        <v>450</v>
      </c>
      <c r="E37" s="3">
        <v>71</v>
      </c>
      <c r="F37" s="3">
        <v>32</v>
      </c>
      <c r="G37" s="3">
        <v>1E-3</v>
      </c>
      <c r="H37" s="3">
        <v>93.57</v>
      </c>
      <c r="I37" s="3">
        <v>93.51</v>
      </c>
      <c r="J37" s="3">
        <v>93.52</v>
      </c>
      <c r="K37" s="3">
        <v>93.51</v>
      </c>
      <c r="L37" s="3">
        <v>0.1017</v>
      </c>
      <c r="M37" s="3">
        <v>153</v>
      </c>
      <c r="N37" s="3">
        <v>148618</v>
      </c>
      <c r="O37" s="3">
        <v>0.37230000000000002</v>
      </c>
      <c r="P37" s="3">
        <v>34.180300000000003</v>
      </c>
      <c r="Q37" s="3">
        <v>3.66</v>
      </c>
      <c r="R37" s="3">
        <v>336.09</v>
      </c>
      <c r="S37" s="3">
        <v>5.8100000000000001E-3</v>
      </c>
    </row>
    <row r="38" spans="1:19" x14ac:dyDescent="0.2">
      <c r="A38" s="3">
        <v>100</v>
      </c>
      <c r="B38" s="3">
        <v>17</v>
      </c>
      <c r="C38" s="3">
        <v>39</v>
      </c>
      <c r="D38" s="3">
        <v>450</v>
      </c>
      <c r="E38" s="3">
        <v>81</v>
      </c>
      <c r="F38" s="3">
        <v>32</v>
      </c>
      <c r="G38" s="3">
        <v>0.01</v>
      </c>
      <c r="H38" s="3">
        <v>93.53</v>
      </c>
      <c r="I38" s="3">
        <v>93.46</v>
      </c>
      <c r="J38" s="3">
        <v>93.47</v>
      </c>
      <c r="K38" s="3">
        <v>93.46</v>
      </c>
      <c r="L38" s="3">
        <v>8.3299999999999999E-2</v>
      </c>
      <c r="M38" s="3">
        <v>92</v>
      </c>
      <c r="N38" s="3">
        <v>169418</v>
      </c>
      <c r="O38" s="3">
        <v>0.37230000000000002</v>
      </c>
      <c r="P38" s="3">
        <v>34.180300000000003</v>
      </c>
      <c r="Q38" s="3">
        <v>4.47</v>
      </c>
      <c r="R38" s="3">
        <v>410.38</v>
      </c>
      <c r="S38" s="3">
        <v>1.512E-2</v>
      </c>
    </row>
    <row r="39" spans="1:19" x14ac:dyDescent="0.2">
      <c r="A39" s="3">
        <v>100</v>
      </c>
      <c r="B39" s="3">
        <v>17</v>
      </c>
      <c r="C39" s="3">
        <v>39</v>
      </c>
      <c r="D39" s="3">
        <v>450</v>
      </c>
      <c r="E39" s="3">
        <v>71</v>
      </c>
      <c r="F39" s="3">
        <v>32</v>
      </c>
      <c r="G39" s="3">
        <v>0.01</v>
      </c>
      <c r="H39" s="3">
        <v>93.48</v>
      </c>
      <c r="I39" s="3">
        <v>93.42</v>
      </c>
      <c r="J39" s="3">
        <v>93.4</v>
      </c>
      <c r="K39" s="3">
        <v>93.41</v>
      </c>
      <c r="L39" s="3">
        <v>6.7299999999999999E-2</v>
      </c>
      <c r="M39" s="3">
        <v>79</v>
      </c>
      <c r="N39" s="3">
        <v>148618</v>
      </c>
      <c r="O39" s="3">
        <v>0.37230000000000002</v>
      </c>
      <c r="P39" s="3">
        <v>34.180300000000003</v>
      </c>
      <c r="Q39" s="3">
        <v>5.53</v>
      </c>
      <c r="R39" s="3">
        <v>507.73</v>
      </c>
      <c r="S39" s="3">
        <v>2.9999999999999997E-4</v>
      </c>
    </row>
    <row r="40" spans="1:19" x14ac:dyDescent="0.2">
      <c r="A40" s="3">
        <v>100</v>
      </c>
      <c r="B40" s="3">
        <v>17</v>
      </c>
      <c r="C40" s="3">
        <v>39</v>
      </c>
      <c r="D40" s="3">
        <v>450</v>
      </c>
      <c r="E40" s="3">
        <v>81</v>
      </c>
      <c r="F40" s="3">
        <v>32</v>
      </c>
      <c r="G40" s="3">
        <v>1E-3</v>
      </c>
      <c r="H40" s="3">
        <v>93.47</v>
      </c>
      <c r="I40" s="3">
        <v>93.43</v>
      </c>
      <c r="J40" s="3">
        <v>93.4</v>
      </c>
      <c r="K40" s="3">
        <v>93.41</v>
      </c>
      <c r="L40" s="3">
        <v>6.8000000000000005E-2</v>
      </c>
      <c r="M40" s="3">
        <v>86</v>
      </c>
      <c r="N40" s="3">
        <v>169418</v>
      </c>
      <c r="O40" s="3">
        <v>0.37230000000000002</v>
      </c>
      <c r="P40" s="3">
        <v>34.180300000000003</v>
      </c>
      <c r="Q40" s="3">
        <v>5.48</v>
      </c>
      <c r="R40" s="3">
        <v>502.73</v>
      </c>
      <c r="S40" s="3">
        <v>1.2099999999999999E-3</v>
      </c>
    </row>
    <row r="41" spans="1:19" x14ac:dyDescent="0.2">
      <c r="A41" s="3">
        <v>100</v>
      </c>
      <c r="B41" s="3">
        <v>17</v>
      </c>
      <c r="C41" s="3">
        <v>39</v>
      </c>
      <c r="D41" s="3">
        <v>450</v>
      </c>
      <c r="E41" s="3">
        <v>41</v>
      </c>
      <c r="F41" s="3">
        <v>64</v>
      </c>
      <c r="G41" s="3">
        <v>0.01</v>
      </c>
      <c r="H41" s="3">
        <v>93.46</v>
      </c>
      <c r="I41" s="3">
        <v>93.42</v>
      </c>
      <c r="J41" s="3">
        <v>93.4</v>
      </c>
      <c r="K41" s="3">
        <v>93.4</v>
      </c>
      <c r="L41" s="3">
        <v>8.0399999999999999E-2</v>
      </c>
      <c r="M41" s="3">
        <v>97</v>
      </c>
      <c r="N41" s="3">
        <v>340362</v>
      </c>
      <c r="O41" s="3">
        <v>0.37230000000000002</v>
      </c>
      <c r="P41" s="3">
        <v>34.180300000000003</v>
      </c>
      <c r="Q41" s="3">
        <v>4.63</v>
      </c>
      <c r="R41" s="3">
        <v>425.39</v>
      </c>
      <c r="S41" s="3">
        <v>1.6000000000000001E-4</v>
      </c>
    </row>
    <row r="42" spans="1:19" x14ac:dyDescent="0.2">
      <c r="A42" s="3">
        <v>100</v>
      </c>
      <c r="B42" s="3">
        <v>17</v>
      </c>
      <c r="C42" s="3">
        <v>39</v>
      </c>
      <c r="D42" s="3">
        <v>450</v>
      </c>
      <c r="E42" s="3">
        <v>91</v>
      </c>
      <c r="F42" s="3">
        <v>32</v>
      </c>
      <c r="G42" s="3">
        <v>1E-3</v>
      </c>
      <c r="H42" s="3">
        <v>93.46</v>
      </c>
      <c r="I42" s="3">
        <v>93.42</v>
      </c>
      <c r="J42" s="3">
        <v>93.38</v>
      </c>
      <c r="K42" s="3">
        <v>93.39</v>
      </c>
      <c r="L42" s="3">
        <v>9.8000000000000004E-2</v>
      </c>
      <c r="M42" s="3">
        <v>85</v>
      </c>
      <c r="N42" s="3">
        <v>190218</v>
      </c>
      <c r="O42" s="3">
        <v>0.37230000000000002</v>
      </c>
      <c r="P42" s="3">
        <v>34.180300000000003</v>
      </c>
      <c r="Q42" s="3">
        <v>3.8</v>
      </c>
      <c r="R42" s="3">
        <v>348.78</v>
      </c>
      <c r="S42" s="3">
        <v>2.513E-2</v>
      </c>
    </row>
    <row r="43" spans="1:19" x14ac:dyDescent="0.2">
      <c r="A43" s="3">
        <v>100</v>
      </c>
      <c r="B43" s="3">
        <v>17</v>
      </c>
      <c r="C43" s="3">
        <v>39</v>
      </c>
      <c r="D43" s="3">
        <v>450</v>
      </c>
      <c r="E43" s="3">
        <v>41</v>
      </c>
      <c r="F43" s="3">
        <v>32</v>
      </c>
      <c r="G43" s="3">
        <v>0.01</v>
      </c>
      <c r="H43" s="3">
        <v>93.36</v>
      </c>
      <c r="I43" s="3">
        <v>93.29</v>
      </c>
      <c r="J43" s="3">
        <v>93.29</v>
      </c>
      <c r="K43" s="3">
        <v>93.29</v>
      </c>
      <c r="L43" s="3">
        <v>6.9900000000000004E-2</v>
      </c>
      <c r="M43" s="3">
        <v>137</v>
      </c>
      <c r="N43" s="3">
        <v>86218</v>
      </c>
      <c r="O43" s="3">
        <v>0.37230000000000002</v>
      </c>
      <c r="P43" s="3">
        <v>34.180300000000003</v>
      </c>
      <c r="Q43" s="3">
        <v>5.33</v>
      </c>
      <c r="R43" s="3">
        <v>488.92</v>
      </c>
      <c r="S43" s="3">
        <v>2.8800000000000002E-3</v>
      </c>
    </row>
    <row r="44" spans="1:19" x14ac:dyDescent="0.2">
      <c r="A44" s="3">
        <v>100</v>
      </c>
      <c r="B44" s="3">
        <v>17</v>
      </c>
      <c r="C44" s="3">
        <v>39</v>
      </c>
      <c r="D44" s="3">
        <v>450</v>
      </c>
      <c r="E44" s="3">
        <v>41</v>
      </c>
      <c r="F44" s="3">
        <v>64</v>
      </c>
      <c r="G44" s="3">
        <v>1E-3</v>
      </c>
      <c r="H44" s="3">
        <v>93.35</v>
      </c>
      <c r="I44" s="3">
        <v>93.3</v>
      </c>
      <c r="J44" s="3">
        <v>93.27</v>
      </c>
      <c r="K44" s="3">
        <v>93.28</v>
      </c>
      <c r="L44" s="3">
        <v>9.8199999999999996E-2</v>
      </c>
      <c r="M44" s="3">
        <v>144</v>
      </c>
      <c r="N44" s="3">
        <v>340362</v>
      </c>
      <c r="O44" s="3">
        <v>0.37230000000000002</v>
      </c>
      <c r="P44" s="3">
        <v>34.180300000000003</v>
      </c>
      <c r="Q44" s="3">
        <v>3.79</v>
      </c>
      <c r="R44" s="3">
        <v>347.96</v>
      </c>
      <c r="S44" s="3">
        <v>3.8999999999999999E-4</v>
      </c>
    </row>
    <row r="45" spans="1:19" x14ac:dyDescent="0.2">
      <c r="A45" s="3">
        <v>100</v>
      </c>
      <c r="B45" s="3">
        <v>17</v>
      </c>
      <c r="C45" s="3">
        <v>39</v>
      </c>
      <c r="D45" s="3">
        <v>450</v>
      </c>
      <c r="E45" s="3">
        <v>31</v>
      </c>
      <c r="F45" s="3">
        <v>64</v>
      </c>
      <c r="G45" s="3">
        <v>1E-3</v>
      </c>
      <c r="H45" s="3">
        <v>93.14</v>
      </c>
      <c r="I45" s="3">
        <v>93.11</v>
      </c>
      <c r="J45" s="3">
        <v>93.05</v>
      </c>
      <c r="K45" s="3">
        <v>93.07</v>
      </c>
      <c r="L45" s="3">
        <v>6.6500000000000004E-2</v>
      </c>
      <c r="M45" s="3">
        <v>125</v>
      </c>
      <c r="N45" s="3">
        <v>257802</v>
      </c>
      <c r="O45" s="3">
        <v>0.37230000000000002</v>
      </c>
      <c r="P45" s="3">
        <v>34.180300000000003</v>
      </c>
      <c r="Q45" s="3">
        <v>5.6</v>
      </c>
      <c r="R45" s="3">
        <v>513.99</v>
      </c>
      <c r="S45" s="3">
        <v>4.6000000000000001E-4</v>
      </c>
    </row>
    <row r="46" spans="1:19" x14ac:dyDescent="0.2">
      <c r="A46" s="3">
        <v>100</v>
      </c>
      <c r="B46" s="3">
        <v>17</v>
      </c>
      <c r="C46" s="3">
        <v>39</v>
      </c>
      <c r="D46" s="3">
        <v>450</v>
      </c>
      <c r="E46" s="3">
        <v>41</v>
      </c>
      <c r="F46" s="3">
        <v>32</v>
      </c>
      <c r="G46" s="3">
        <v>1E-3</v>
      </c>
      <c r="H46" s="3">
        <v>93.09</v>
      </c>
      <c r="I46" s="3">
        <v>93.04</v>
      </c>
      <c r="J46" s="3">
        <v>93.01</v>
      </c>
      <c r="K46" s="3">
        <v>93.02</v>
      </c>
      <c r="L46" s="3">
        <v>0.11210000000000001</v>
      </c>
      <c r="M46" s="3">
        <v>130</v>
      </c>
      <c r="N46" s="3">
        <v>86218</v>
      </c>
      <c r="O46" s="3">
        <v>0.37230000000000002</v>
      </c>
      <c r="P46" s="3">
        <v>34.180300000000003</v>
      </c>
      <c r="Q46" s="3">
        <v>3.32</v>
      </c>
      <c r="R46" s="3">
        <v>304.88</v>
      </c>
      <c r="S46" s="3">
        <v>3.0190000000000002E-2</v>
      </c>
    </row>
    <row r="47" spans="1:19" x14ac:dyDescent="0.2">
      <c r="A47" s="3">
        <v>100</v>
      </c>
      <c r="B47" s="3">
        <v>17</v>
      </c>
      <c r="C47" s="3">
        <v>39</v>
      </c>
      <c r="D47" s="3">
        <v>450</v>
      </c>
      <c r="E47" s="3">
        <v>31</v>
      </c>
      <c r="F47" s="3">
        <v>32</v>
      </c>
      <c r="G47" s="3">
        <v>0.01</v>
      </c>
      <c r="H47" s="3">
        <v>92.96</v>
      </c>
      <c r="I47" s="3">
        <v>92.89</v>
      </c>
      <c r="J47" s="3">
        <v>92.89</v>
      </c>
      <c r="K47" s="3">
        <v>92.89</v>
      </c>
      <c r="L47" s="3">
        <v>7.0400000000000004E-2</v>
      </c>
      <c r="M47" s="3">
        <v>137</v>
      </c>
      <c r="N47" s="3">
        <v>65418</v>
      </c>
      <c r="O47" s="3">
        <v>0.37230000000000002</v>
      </c>
      <c r="P47" s="3">
        <v>34.180300000000003</v>
      </c>
      <c r="Q47" s="3">
        <v>5.29</v>
      </c>
      <c r="R47" s="3">
        <v>485.17</v>
      </c>
      <c r="S47" s="3">
        <v>9.1E-4</v>
      </c>
    </row>
    <row r="48" spans="1:19" x14ac:dyDescent="0.2">
      <c r="A48" s="3">
        <v>100</v>
      </c>
      <c r="B48" s="3">
        <v>17</v>
      </c>
      <c r="C48" s="3">
        <v>39</v>
      </c>
      <c r="D48" s="3">
        <v>450</v>
      </c>
      <c r="E48" s="3">
        <v>31</v>
      </c>
      <c r="F48" s="3">
        <v>64</v>
      </c>
      <c r="G48" s="3">
        <v>0.01</v>
      </c>
      <c r="H48" s="3">
        <v>92.9</v>
      </c>
      <c r="I48" s="3">
        <v>92.89</v>
      </c>
      <c r="J48" s="3">
        <v>92.82</v>
      </c>
      <c r="K48" s="3">
        <v>92.84</v>
      </c>
      <c r="L48" s="3">
        <v>9.6199999999999994E-2</v>
      </c>
      <c r="M48" s="3">
        <v>91</v>
      </c>
      <c r="N48" s="3">
        <v>257802</v>
      </c>
      <c r="O48" s="3">
        <v>0.37230000000000002</v>
      </c>
      <c r="P48" s="3">
        <v>34.180300000000003</v>
      </c>
      <c r="Q48" s="3">
        <v>3.87</v>
      </c>
      <c r="R48" s="3">
        <v>355.27</v>
      </c>
      <c r="S48" s="3">
        <v>1.8270000000000002E-2</v>
      </c>
    </row>
    <row r="49" spans="1:19" x14ac:dyDescent="0.2">
      <c r="A49" s="3">
        <v>100</v>
      </c>
      <c r="B49" s="3">
        <v>17</v>
      </c>
      <c r="C49" s="3">
        <v>39</v>
      </c>
      <c r="D49" s="3">
        <v>450</v>
      </c>
      <c r="E49" s="3">
        <v>21</v>
      </c>
      <c r="F49" s="3">
        <v>64</v>
      </c>
      <c r="G49" s="3">
        <v>0.01</v>
      </c>
      <c r="H49" s="3">
        <v>92.58</v>
      </c>
      <c r="I49" s="3">
        <v>92.54</v>
      </c>
      <c r="J49" s="3">
        <v>92.48</v>
      </c>
      <c r="K49" s="3">
        <v>92.5</v>
      </c>
      <c r="L49" s="3">
        <v>7.2300000000000003E-2</v>
      </c>
      <c r="M49" s="3">
        <v>160</v>
      </c>
      <c r="N49" s="3">
        <v>175242</v>
      </c>
      <c r="O49" s="3">
        <v>0.37230000000000002</v>
      </c>
      <c r="P49" s="3">
        <v>34.180300000000003</v>
      </c>
      <c r="Q49" s="3">
        <v>5.15</v>
      </c>
      <c r="R49" s="3">
        <v>472.69</v>
      </c>
      <c r="S49" s="3">
        <v>6.4000000000000005E-4</v>
      </c>
    </row>
    <row r="50" spans="1:19" x14ac:dyDescent="0.2">
      <c r="A50" s="3">
        <v>100</v>
      </c>
      <c r="B50" s="3">
        <v>17</v>
      </c>
      <c r="C50" s="3">
        <v>39</v>
      </c>
      <c r="D50" s="3">
        <v>450</v>
      </c>
      <c r="E50" s="3">
        <v>31</v>
      </c>
      <c r="F50" s="3">
        <v>32</v>
      </c>
      <c r="G50" s="3">
        <v>1E-3</v>
      </c>
      <c r="H50" s="3">
        <v>92.37</v>
      </c>
      <c r="I50" s="3">
        <v>92.27</v>
      </c>
      <c r="J50" s="3">
        <v>92.3</v>
      </c>
      <c r="K50" s="3">
        <v>92.28</v>
      </c>
      <c r="L50" s="3">
        <v>6.9199999999999998E-2</v>
      </c>
      <c r="M50" s="3">
        <v>85</v>
      </c>
      <c r="N50" s="3">
        <v>65418</v>
      </c>
      <c r="O50" s="3">
        <v>0.37230000000000002</v>
      </c>
      <c r="P50" s="3">
        <v>34.180300000000003</v>
      </c>
      <c r="Q50" s="3">
        <v>5.38</v>
      </c>
      <c r="R50" s="3">
        <v>494.15</v>
      </c>
      <c r="S50" s="3">
        <v>1.08E-3</v>
      </c>
    </row>
    <row r="51" spans="1:19" x14ac:dyDescent="0.2">
      <c r="A51" s="3">
        <v>100</v>
      </c>
      <c r="B51" s="3">
        <v>17</v>
      </c>
      <c r="C51" s="3">
        <v>39</v>
      </c>
      <c r="D51" s="3">
        <v>450</v>
      </c>
      <c r="E51" s="3">
        <v>21</v>
      </c>
      <c r="F51" s="3">
        <v>64</v>
      </c>
      <c r="G51" s="3">
        <v>1E-3</v>
      </c>
      <c r="H51" s="3">
        <v>92.15</v>
      </c>
      <c r="I51" s="3">
        <v>92.11</v>
      </c>
      <c r="J51" s="3">
        <v>92.05</v>
      </c>
      <c r="K51" s="3">
        <v>92.07</v>
      </c>
      <c r="L51" s="3">
        <v>6.9099999999999995E-2</v>
      </c>
      <c r="M51" s="3">
        <v>95</v>
      </c>
      <c r="N51" s="3">
        <v>175242</v>
      </c>
      <c r="O51" s="3">
        <v>0.37230000000000002</v>
      </c>
      <c r="P51" s="3">
        <v>34.180300000000003</v>
      </c>
      <c r="Q51" s="3">
        <v>5.39</v>
      </c>
      <c r="R51" s="3">
        <v>494.51</v>
      </c>
      <c r="S51" s="3">
        <v>7.1000000000000002E-4</v>
      </c>
    </row>
    <row r="52" spans="1:19" x14ac:dyDescent="0.2">
      <c r="A52" s="3">
        <v>100</v>
      </c>
      <c r="B52" s="3">
        <v>17</v>
      </c>
      <c r="C52" s="3">
        <v>39</v>
      </c>
      <c r="D52" s="3">
        <v>450</v>
      </c>
      <c r="E52" s="3">
        <v>21</v>
      </c>
      <c r="F52" s="3">
        <v>32</v>
      </c>
      <c r="G52" s="3">
        <v>0.01</v>
      </c>
      <c r="H52" s="3">
        <v>92.07</v>
      </c>
      <c r="I52" s="3">
        <v>92.03</v>
      </c>
      <c r="J52" s="3">
        <v>91.98</v>
      </c>
      <c r="K52" s="3">
        <v>91.99</v>
      </c>
      <c r="L52" s="3">
        <v>0.11070000000000001</v>
      </c>
      <c r="M52" s="3">
        <v>128</v>
      </c>
      <c r="N52" s="3">
        <v>44618</v>
      </c>
      <c r="O52" s="3">
        <v>0.37230000000000002</v>
      </c>
      <c r="P52" s="3">
        <v>34.180300000000003</v>
      </c>
      <c r="Q52" s="3">
        <v>3.36</v>
      </c>
      <c r="R52" s="3">
        <v>308.82</v>
      </c>
      <c r="S52" s="3">
        <v>1.8769999999999998E-2</v>
      </c>
    </row>
    <row r="53" spans="1:19" x14ac:dyDescent="0.2">
      <c r="A53" s="3">
        <v>100</v>
      </c>
      <c r="B53" s="3">
        <v>17</v>
      </c>
      <c r="C53" s="3">
        <v>39</v>
      </c>
      <c r="D53" s="3">
        <v>450</v>
      </c>
      <c r="E53" s="3">
        <v>21</v>
      </c>
      <c r="F53" s="3">
        <v>32</v>
      </c>
      <c r="G53" s="3">
        <v>1E-3</v>
      </c>
      <c r="H53" s="3">
        <v>92.03</v>
      </c>
      <c r="I53" s="3">
        <v>91.96</v>
      </c>
      <c r="J53" s="3">
        <v>91.94</v>
      </c>
      <c r="K53" s="3">
        <v>91.94</v>
      </c>
      <c r="L53" s="3">
        <v>9.7199999999999995E-2</v>
      </c>
      <c r="M53" s="3">
        <v>157</v>
      </c>
      <c r="N53" s="3">
        <v>44618</v>
      </c>
      <c r="O53" s="3">
        <v>0.37230000000000002</v>
      </c>
      <c r="P53" s="3">
        <v>34.180300000000003</v>
      </c>
      <c r="Q53" s="3">
        <v>3.83</v>
      </c>
      <c r="R53" s="3">
        <v>351.69</v>
      </c>
      <c r="S53" s="3">
        <v>3.0800000000000001E-2</v>
      </c>
    </row>
    <row r="54" spans="1:19" x14ac:dyDescent="0.2">
      <c r="A54" s="3">
        <v>100</v>
      </c>
      <c r="B54" s="3">
        <v>17</v>
      </c>
      <c r="C54" s="3">
        <v>39</v>
      </c>
      <c r="D54" s="3">
        <v>450</v>
      </c>
      <c r="E54" s="3">
        <v>11</v>
      </c>
      <c r="F54" s="3">
        <v>64</v>
      </c>
      <c r="G54" s="3">
        <v>0.01</v>
      </c>
      <c r="H54" s="3">
        <v>89.37</v>
      </c>
      <c r="I54" s="3">
        <v>89.27</v>
      </c>
      <c r="J54" s="3">
        <v>89.21</v>
      </c>
      <c r="K54" s="3">
        <v>89.23</v>
      </c>
      <c r="L54" s="3">
        <v>0.1173</v>
      </c>
      <c r="M54" s="3">
        <v>159</v>
      </c>
      <c r="N54" s="3">
        <v>92682</v>
      </c>
      <c r="O54" s="3">
        <v>0.37230000000000002</v>
      </c>
      <c r="P54" s="3">
        <v>34.180300000000003</v>
      </c>
      <c r="Q54" s="3">
        <v>3.17</v>
      </c>
      <c r="R54" s="3">
        <v>291.37</v>
      </c>
      <c r="S54" s="3">
        <v>1.6899999999999998E-2</v>
      </c>
    </row>
    <row r="55" spans="1:19" x14ac:dyDescent="0.2">
      <c r="A55" s="3">
        <v>100</v>
      </c>
      <c r="B55" s="3">
        <v>17</v>
      </c>
      <c r="C55" s="3">
        <v>39</v>
      </c>
      <c r="D55" s="3">
        <v>450</v>
      </c>
      <c r="E55" s="3">
        <v>11</v>
      </c>
      <c r="F55" s="3">
        <v>64</v>
      </c>
      <c r="G55" s="3">
        <v>1E-3</v>
      </c>
      <c r="H55" s="3">
        <v>89.3</v>
      </c>
      <c r="I55" s="3">
        <v>89.21</v>
      </c>
      <c r="J55" s="3">
        <v>89.15</v>
      </c>
      <c r="K55" s="3">
        <v>89.17</v>
      </c>
      <c r="L55" s="3">
        <v>0.1237</v>
      </c>
      <c r="M55" s="3">
        <v>155</v>
      </c>
      <c r="N55" s="3">
        <v>92682</v>
      </c>
      <c r="O55" s="3">
        <v>0.37230000000000002</v>
      </c>
      <c r="P55" s="3">
        <v>34.180300000000003</v>
      </c>
      <c r="Q55" s="3">
        <v>3.01</v>
      </c>
      <c r="R55" s="3">
        <v>276.25</v>
      </c>
      <c r="S55" s="3">
        <v>1.3480000000000001E-2</v>
      </c>
    </row>
    <row r="56" spans="1:19" x14ac:dyDescent="0.2">
      <c r="A56" s="3">
        <v>100</v>
      </c>
      <c r="B56" s="3">
        <v>17</v>
      </c>
      <c r="C56" s="3">
        <v>39</v>
      </c>
      <c r="D56" s="3">
        <v>450</v>
      </c>
      <c r="E56" s="3">
        <v>11</v>
      </c>
      <c r="F56" s="3">
        <v>32</v>
      </c>
      <c r="G56" s="3">
        <v>0.01</v>
      </c>
      <c r="H56" s="3">
        <v>88.8</v>
      </c>
      <c r="I56" s="3">
        <v>88.73</v>
      </c>
      <c r="J56" s="3">
        <v>88.67</v>
      </c>
      <c r="K56" s="3">
        <v>88.67</v>
      </c>
      <c r="L56" s="3">
        <v>0.125</v>
      </c>
      <c r="M56" s="3">
        <v>142</v>
      </c>
      <c r="N56" s="3">
        <v>23818</v>
      </c>
      <c r="O56" s="3">
        <v>0.37230000000000002</v>
      </c>
      <c r="P56" s="3">
        <v>34.180300000000003</v>
      </c>
      <c r="Q56" s="3">
        <v>2.98</v>
      </c>
      <c r="R56" s="3">
        <v>273.39999999999998</v>
      </c>
      <c r="S56" s="3">
        <v>1.485E-2</v>
      </c>
    </row>
    <row r="57" spans="1:19" x14ac:dyDescent="0.2">
      <c r="A57" s="3">
        <v>100</v>
      </c>
      <c r="B57" s="3">
        <v>17</v>
      </c>
      <c r="C57" s="3">
        <v>39</v>
      </c>
      <c r="D57" s="3">
        <v>450</v>
      </c>
      <c r="E57" s="3">
        <v>11</v>
      </c>
      <c r="F57" s="3">
        <v>32</v>
      </c>
      <c r="G57" s="3">
        <v>1E-3</v>
      </c>
      <c r="H57" s="3">
        <v>88.78</v>
      </c>
      <c r="I57" s="3">
        <v>88.67</v>
      </c>
      <c r="J57" s="3">
        <v>88.61</v>
      </c>
      <c r="K57" s="3">
        <v>88.62</v>
      </c>
      <c r="L57" s="3">
        <v>6.9400000000000003E-2</v>
      </c>
      <c r="M57" s="3">
        <v>154</v>
      </c>
      <c r="N57" s="3">
        <v>23818</v>
      </c>
      <c r="O57" s="3">
        <v>0.37230000000000002</v>
      </c>
      <c r="P57" s="3">
        <v>34.180300000000003</v>
      </c>
      <c r="Q57" s="3">
        <v>5.36</v>
      </c>
      <c r="R57" s="3">
        <v>492.37</v>
      </c>
      <c r="S57" s="3">
        <v>1.97E-3</v>
      </c>
    </row>
    <row r="58" spans="1:19" x14ac:dyDescent="0.2">
      <c r="A58" s="2">
        <v>200</v>
      </c>
      <c r="B58" s="2">
        <v>37</v>
      </c>
      <c r="C58" s="2">
        <v>23</v>
      </c>
      <c r="D58" s="2">
        <v>800</v>
      </c>
      <c r="E58" s="2">
        <v>91</v>
      </c>
      <c r="F58" s="2">
        <v>64</v>
      </c>
      <c r="G58" s="2">
        <v>1E-3</v>
      </c>
      <c r="H58" s="2">
        <v>96.17</v>
      </c>
      <c r="I58" s="2">
        <v>96.12</v>
      </c>
      <c r="J58" s="2">
        <v>96.15</v>
      </c>
      <c r="K58" s="2">
        <v>96.13</v>
      </c>
      <c r="L58" s="2">
        <v>0.30299999999999999</v>
      </c>
      <c r="M58" s="2">
        <v>175</v>
      </c>
      <c r="N58" s="2">
        <v>753162</v>
      </c>
      <c r="O58" s="2">
        <v>0.42730000000000001</v>
      </c>
      <c r="P58" s="2">
        <v>61.321300000000001</v>
      </c>
      <c r="Q58" s="2">
        <v>1.41</v>
      </c>
      <c r="R58" s="2">
        <v>202.37</v>
      </c>
      <c r="S58" s="2">
        <v>6.4999999999999997E-4</v>
      </c>
    </row>
    <row r="59" spans="1:19" x14ac:dyDescent="0.2">
      <c r="A59" s="2">
        <v>200</v>
      </c>
      <c r="B59" s="2">
        <v>37</v>
      </c>
      <c r="C59" s="2">
        <v>23</v>
      </c>
      <c r="D59" s="2">
        <v>800</v>
      </c>
      <c r="E59" s="2">
        <v>71</v>
      </c>
      <c r="F59" s="2">
        <v>64</v>
      </c>
      <c r="G59" s="2">
        <v>0.01</v>
      </c>
      <c r="H59" s="2">
        <v>96.02</v>
      </c>
      <c r="I59" s="2">
        <v>95.98</v>
      </c>
      <c r="J59" s="2">
        <v>96</v>
      </c>
      <c r="K59" s="2">
        <v>95.99</v>
      </c>
      <c r="L59" s="2">
        <v>0.25769999999999998</v>
      </c>
      <c r="M59" s="2">
        <v>138</v>
      </c>
      <c r="N59" s="2">
        <v>588042</v>
      </c>
      <c r="O59" s="2">
        <v>0.42730000000000001</v>
      </c>
      <c r="P59" s="2">
        <v>61.321300000000001</v>
      </c>
      <c r="Q59" s="2">
        <v>1.66</v>
      </c>
      <c r="R59" s="2">
        <v>237.91</v>
      </c>
      <c r="S59" s="2">
        <v>4.4000000000000002E-4</v>
      </c>
    </row>
    <row r="60" spans="1:19" x14ac:dyDescent="0.2">
      <c r="A60" s="2">
        <v>200</v>
      </c>
      <c r="B60" s="2">
        <v>37</v>
      </c>
      <c r="C60" s="2">
        <v>23</v>
      </c>
      <c r="D60" s="2">
        <v>800</v>
      </c>
      <c r="E60" s="2">
        <v>81</v>
      </c>
      <c r="F60" s="2">
        <v>64</v>
      </c>
      <c r="G60" s="2">
        <v>0.01</v>
      </c>
      <c r="H60" s="2">
        <v>96.01</v>
      </c>
      <c r="I60" s="2">
        <v>95.97</v>
      </c>
      <c r="J60" s="2">
        <v>95.99</v>
      </c>
      <c r="K60" s="2">
        <v>95.98</v>
      </c>
      <c r="L60" s="2">
        <v>0.28299999999999997</v>
      </c>
      <c r="M60" s="2">
        <v>246</v>
      </c>
      <c r="N60" s="2">
        <v>670602</v>
      </c>
      <c r="O60" s="2">
        <v>0.42730000000000001</v>
      </c>
      <c r="P60" s="2">
        <v>61.321300000000001</v>
      </c>
      <c r="Q60" s="2">
        <v>1.51</v>
      </c>
      <c r="R60" s="2">
        <v>216.69</v>
      </c>
      <c r="S60" s="2">
        <v>9.0000000000000006E-5</v>
      </c>
    </row>
    <row r="61" spans="1:19" x14ac:dyDescent="0.2">
      <c r="A61" s="2">
        <v>200</v>
      </c>
      <c r="B61" s="2">
        <v>37</v>
      </c>
      <c r="C61" s="2">
        <v>23</v>
      </c>
      <c r="D61" s="2">
        <v>800</v>
      </c>
      <c r="E61" s="2">
        <v>71</v>
      </c>
      <c r="F61" s="2">
        <v>64</v>
      </c>
      <c r="G61" s="2">
        <v>1E-3</v>
      </c>
      <c r="H61" s="2">
        <v>96</v>
      </c>
      <c r="I61" s="2">
        <v>95.95</v>
      </c>
      <c r="J61" s="2">
        <v>96</v>
      </c>
      <c r="K61" s="2">
        <v>95.97</v>
      </c>
      <c r="L61" s="2">
        <v>0.25790000000000002</v>
      </c>
      <c r="M61" s="2">
        <v>139</v>
      </c>
      <c r="N61" s="2">
        <v>588042</v>
      </c>
      <c r="O61" s="2">
        <v>0.42730000000000001</v>
      </c>
      <c r="P61" s="2">
        <v>61.321300000000001</v>
      </c>
      <c r="Q61" s="2">
        <v>1.66</v>
      </c>
      <c r="R61" s="2">
        <v>237.76</v>
      </c>
      <c r="S61" s="2">
        <v>1.2E-4</v>
      </c>
    </row>
    <row r="62" spans="1:19" x14ac:dyDescent="0.2">
      <c r="A62" s="2">
        <v>200</v>
      </c>
      <c r="B62" s="2">
        <v>37</v>
      </c>
      <c r="C62" s="2">
        <v>23</v>
      </c>
      <c r="D62" s="2">
        <v>800</v>
      </c>
      <c r="E62" s="2">
        <v>71</v>
      </c>
      <c r="F62" s="2">
        <v>32</v>
      </c>
      <c r="G62" s="2">
        <v>1E-3</v>
      </c>
      <c r="H62" s="2">
        <v>95.95</v>
      </c>
      <c r="I62" s="2">
        <v>95.9</v>
      </c>
      <c r="J62" s="2">
        <v>95.92</v>
      </c>
      <c r="K62" s="2">
        <v>95.91</v>
      </c>
      <c r="L62" s="2">
        <v>0.13089999999999999</v>
      </c>
      <c r="M62" s="2">
        <v>125</v>
      </c>
      <c r="N62" s="2">
        <v>148618</v>
      </c>
      <c r="O62" s="2">
        <v>0.42730000000000001</v>
      </c>
      <c r="P62" s="2">
        <v>61.321300000000001</v>
      </c>
      <c r="Q62" s="2">
        <v>3.26</v>
      </c>
      <c r="R62" s="2">
        <v>468.39</v>
      </c>
      <c r="S62" s="2">
        <v>4.0000000000000002E-4</v>
      </c>
    </row>
    <row r="63" spans="1:19" x14ac:dyDescent="0.2">
      <c r="A63" s="2">
        <v>200</v>
      </c>
      <c r="B63" s="2">
        <v>37</v>
      </c>
      <c r="C63" s="2">
        <v>23</v>
      </c>
      <c r="D63" s="2">
        <v>800</v>
      </c>
      <c r="E63" s="2">
        <v>81</v>
      </c>
      <c r="F63" s="2">
        <v>64</v>
      </c>
      <c r="G63" s="2">
        <v>1E-3</v>
      </c>
      <c r="H63" s="2">
        <v>95.93</v>
      </c>
      <c r="I63" s="2">
        <v>95.88</v>
      </c>
      <c r="J63" s="2">
        <v>95.92</v>
      </c>
      <c r="K63" s="2">
        <v>95.9</v>
      </c>
      <c r="L63" s="2">
        <v>0.28299999999999997</v>
      </c>
      <c r="M63" s="2">
        <v>151</v>
      </c>
      <c r="N63" s="2">
        <v>670602</v>
      </c>
      <c r="O63" s="2">
        <v>0.42730000000000001</v>
      </c>
      <c r="P63" s="2">
        <v>61.321300000000001</v>
      </c>
      <c r="Q63" s="2">
        <v>1.51</v>
      </c>
      <c r="R63" s="2">
        <v>216.67</v>
      </c>
      <c r="S63" s="2">
        <v>1.1E-4</v>
      </c>
    </row>
    <row r="64" spans="1:19" x14ac:dyDescent="0.2">
      <c r="A64" s="2">
        <v>200</v>
      </c>
      <c r="B64" s="2">
        <v>37</v>
      </c>
      <c r="C64" s="2">
        <v>23</v>
      </c>
      <c r="D64" s="2">
        <v>800</v>
      </c>
      <c r="E64" s="2">
        <v>91</v>
      </c>
      <c r="F64" s="2">
        <v>32</v>
      </c>
      <c r="G64" s="2">
        <v>1E-3</v>
      </c>
      <c r="H64" s="2">
        <v>95.91</v>
      </c>
      <c r="I64" s="2">
        <v>95.86</v>
      </c>
      <c r="J64" s="2">
        <v>95.9</v>
      </c>
      <c r="K64" s="2">
        <v>95.87</v>
      </c>
      <c r="L64" s="2">
        <v>0.17549999999999999</v>
      </c>
      <c r="M64" s="2">
        <v>108</v>
      </c>
      <c r="N64" s="2">
        <v>190218</v>
      </c>
      <c r="O64" s="2">
        <v>0.42730000000000001</v>
      </c>
      <c r="P64" s="2">
        <v>61.321300000000001</v>
      </c>
      <c r="Q64" s="2">
        <v>2.4300000000000002</v>
      </c>
      <c r="R64" s="2">
        <v>349.33</v>
      </c>
      <c r="S64" s="2">
        <v>2.7999999999999998E-4</v>
      </c>
    </row>
    <row r="65" spans="1:19" x14ac:dyDescent="0.2">
      <c r="A65" s="2">
        <v>200</v>
      </c>
      <c r="B65" s="2">
        <v>37</v>
      </c>
      <c r="C65" s="2">
        <v>23</v>
      </c>
      <c r="D65" s="2">
        <v>800</v>
      </c>
      <c r="E65" s="2">
        <v>91</v>
      </c>
      <c r="F65" s="2">
        <v>64</v>
      </c>
      <c r="G65" s="2">
        <v>0.01</v>
      </c>
      <c r="H65" s="2">
        <v>95.84</v>
      </c>
      <c r="I65" s="2">
        <v>95.8</v>
      </c>
      <c r="J65" s="2">
        <v>95.82</v>
      </c>
      <c r="K65" s="2">
        <v>95.81</v>
      </c>
      <c r="L65" s="2">
        <v>0.30690000000000001</v>
      </c>
      <c r="M65" s="2">
        <v>163</v>
      </c>
      <c r="N65" s="2">
        <v>753162</v>
      </c>
      <c r="O65" s="2">
        <v>0.42730000000000001</v>
      </c>
      <c r="P65" s="2">
        <v>61.321300000000001</v>
      </c>
      <c r="Q65" s="2">
        <v>1.39</v>
      </c>
      <c r="R65" s="2">
        <v>199.83</v>
      </c>
      <c r="S65" s="2">
        <v>2.5200000000000001E-3</v>
      </c>
    </row>
    <row r="66" spans="1:19" x14ac:dyDescent="0.2">
      <c r="A66" s="2">
        <v>200</v>
      </c>
      <c r="B66" s="2">
        <v>37</v>
      </c>
      <c r="C66" s="2">
        <v>23</v>
      </c>
      <c r="D66" s="2">
        <v>800</v>
      </c>
      <c r="E66" s="2">
        <v>81</v>
      </c>
      <c r="F66" s="2">
        <v>32</v>
      </c>
      <c r="G66" s="2">
        <v>0.01</v>
      </c>
      <c r="H66" s="2">
        <v>95.82</v>
      </c>
      <c r="I66" s="2">
        <v>95.78</v>
      </c>
      <c r="J66" s="2">
        <v>95.8</v>
      </c>
      <c r="K66" s="2">
        <v>95.78</v>
      </c>
      <c r="L66" s="2">
        <v>0.1522</v>
      </c>
      <c r="M66" s="2">
        <v>93</v>
      </c>
      <c r="N66" s="2">
        <v>169418</v>
      </c>
      <c r="O66" s="2">
        <v>0.42730000000000001</v>
      </c>
      <c r="P66" s="2">
        <v>61.321300000000001</v>
      </c>
      <c r="Q66" s="2">
        <v>2.81</v>
      </c>
      <c r="R66" s="2">
        <v>402.9</v>
      </c>
      <c r="S66" s="2">
        <v>6.0999999999999997E-4</v>
      </c>
    </row>
    <row r="67" spans="1:19" x14ac:dyDescent="0.2">
      <c r="A67" s="2">
        <v>200</v>
      </c>
      <c r="B67" s="2">
        <v>37</v>
      </c>
      <c r="C67" s="2">
        <v>23</v>
      </c>
      <c r="D67" s="2">
        <v>800</v>
      </c>
      <c r="E67" s="2">
        <v>71</v>
      </c>
      <c r="F67" s="2">
        <v>32</v>
      </c>
      <c r="G67" s="2">
        <v>0.01</v>
      </c>
      <c r="H67" s="2">
        <v>95.79</v>
      </c>
      <c r="I67" s="2">
        <v>95.76</v>
      </c>
      <c r="J67" s="2">
        <v>95.75</v>
      </c>
      <c r="K67" s="2">
        <v>95.75</v>
      </c>
      <c r="L67" s="2">
        <v>0.1308</v>
      </c>
      <c r="M67" s="2">
        <v>88</v>
      </c>
      <c r="N67" s="2">
        <v>148618</v>
      </c>
      <c r="O67" s="2">
        <v>0.42730000000000001</v>
      </c>
      <c r="P67" s="2">
        <v>61.321300000000001</v>
      </c>
      <c r="Q67" s="2">
        <v>3.27</v>
      </c>
      <c r="R67" s="2">
        <v>468.82</v>
      </c>
      <c r="S67" s="2">
        <v>4.0000000000000002E-4</v>
      </c>
    </row>
    <row r="68" spans="1:19" x14ac:dyDescent="0.2">
      <c r="A68" s="2">
        <v>200</v>
      </c>
      <c r="B68" s="2">
        <v>37</v>
      </c>
      <c r="C68" s="2">
        <v>23</v>
      </c>
      <c r="D68" s="2">
        <v>800</v>
      </c>
      <c r="E68" s="2">
        <v>81</v>
      </c>
      <c r="F68" s="2">
        <v>32</v>
      </c>
      <c r="G68" s="2">
        <v>1E-3</v>
      </c>
      <c r="H68" s="2">
        <v>95.74</v>
      </c>
      <c r="I68" s="2">
        <v>95.7</v>
      </c>
      <c r="J68" s="2">
        <v>95.71</v>
      </c>
      <c r="K68" s="2">
        <v>95.71</v>
      </c>
      <c r="L68" s="2">
        <v>0.15210000000000001</v>
      </c>
      <c r="M68" s="2">
        <v>106</v>
      </c>
      <c r="N68" s="2">
        <v>169418</v>
      </c>
      <c r="O68" s="2">
        <v>0.42730000000000001</v>
      </c>
      <c r="P68" s="2">
        <v>61.321300000000001</v>
      </c>
      <c r="Q68" s="2">
        <v>2.81</v>
      </c>
      <c r="R68" s="2">
        <v>403.09</v>
      </c>
      <c r="S68" s="2">
        <v>1.1E-4</v>
      </c>
    </row>
    <row r="69" spans="1:19" x14ac:dyDescent="0.2">
      <c r="A69" s="2">
        <v>200</v>
      </c>
      <c r="B69" s="2">
        <v>37</v>
      </c>
      <c r="C69" s="2">
        <v>23</v>
      </c>
      <c r="D69" s="2">
        <v>800</v>
      </c>
      <c r="E69" s="2">
        <v>41</v>
      </c>
      <c r="F69" s="2">
        <v>64</v>
      </c>
      <c r="G69" s="2">
        <v>1E-3</v>
      </c>
      <c r="H69" s="2">
        <v>95.71</v>
      </c>
      <c r="I69" s="2">
        <v>95.66</v>
      </c>
      <c r="J69" s="2">
        <v>95.7</v>
      </c>
      <c r="K69" s="2">
        <v>95.67</v>
      </c>
      <c r="L69" s="2">
        <v>0.1658</v>
      </c>
      <c r="M69" s="2">
        <v>102</v>
      </c>
      <c r="N69" s="2">
        <v>340362</v>
      </c>
      <c r="O69" s="2">
        <v>0.42730000000000001</v>
      </c>
      <c r="P69" s="2">
        <v>61.321300000000001</v>
      </c>
      <c r="Q69" s="2">
        <v>2.58</v>
      </c>
      <c r="R69" s="2">
        <v>369.74</v>
      </c>
      <c r="S69" s="2">
        <v>1.8000000000000001E-4</v>
      </c>
    </row>
    <row r="70" spans="1:19" x14ac:dyDescent="0.2">
      <c r="A70" s="2">
        <v>200</v>
      </c>
      <c r="B70" s="2">
        <v>37</v>
      </c>
      <c r="C70" s="2">
        <v>23</v>
      </c>
      <c r="D70" s="2">
        <v>800</v>
      </c>
      <c r="E70" s="2">
        <v>91</v>
      </c>
      <c r="F70" s="2">
        <v>32</v>
      </c>
      <c r="G70" s="2">
        <v>0.01</v>
      </c>
      <c r="H70" s="2">
        <v>95.62</v>
      </c>
      <c r="I70" s="2">
        <v>95.57</v>
      </c>
      <c r="J70" s="2">
        <v>95.59</v>
      </c>
      <c r="K70" s="2">
        <v>95.57</v>
      </c>
      <c r="L70" s="2">
        <v>0.1759</v>
      </c>
      <c r="M70" s="2">
        <v>91</v>
      </c>
      <c r="N70" s="2">
        <v>190218</v>
      </c>
      <c r="O70" s="2">
        <v>0.42730000000000001</v>
      </c>
      <c r="P70" s="2">
        <v>61.321300000000001</v>
      </c>
      <c r="Q70" s="2">
        <v>2.4300000000000002</v>
      </c>
      <c r="R70" s="2">
        <v>348.65</v>
      </c>
      <c r="S70" s="2">
        <v>2.2000000000000001E-4</v>
      </c>
    </row>
    <row r="71" spans="1:19" x14ac:dyDescent="0.2">
      <c r="A71" s="2">
        <v>200</v>
      </c>
      <c r="B71" s="2">
        <v>37</v>
      </c>
      <c r="C71" s="2">
        <v>23</v>
      </c>
      <c r="D71" s="2">
        <v>800</v>
      </c>
      <c r="E71" s="2">
        <v>31</v>
      </c>
      <c r="F71" s="2">
        <v>64</v>
      </c>
      <c r="G71" s="2">
        <v>1E-3</v>
      </c>
      <c r="H71" s="2">
        <v>95.61</v>
      </c>
      <c r="I71" s="2">
        <v>95.56</v>
      </c>
      <c r="J71" s="2">
        <v>95.58</v>
      </c>
      <c r="K71" s="2">
        <v>95.57</v>
      </c>
      <c r="L71" s="2">
        <v>0.11219999999999999</v>
      </c>
      <c r="M71" s="2">
        <v>153</v>
      </c>
      <c r="N71" s="2">
        <v>257802</v>
      </c>
      <c r="O71" s="2">
        <v>0.42730000000000001</v>
      </c>
      <c r="P71" s="2">
        <v>61.321300000000001</v>
      </c>
      <c r="Q71" s="2">
        <v>3.81</v>
      </c>
      <c r="R71" s="2">
        <v>546.63</v>
      </c>
      <c r="S71" s="2">
        <v>1.5399999999999999E-3</v>
      </c>
    </row>
    <row r="72" spans="1:19" x14ac:dyDescent="0.2">
      <c r="A72" s="2">
        <v>200</v>
      </c>
      <c r="B72" s="2">
        <v>37</v>
      </c>
      <c r="C72" s="2">
        <v>23</v>
      </c>
      <c r="D72" s="2">
        <v>800</v>
      </c>
      <c r="E72" s="2">
        <v>41</v>
      </c>
      <c r="F72" s="2">
        <v>64</v>
      </c>
      <c r="G72" s="2">
        <v>0.01</v>
      </c>
      <c r="H72" s="2">
        <v>95.6</v>
      </c>
      <c r="I72" s="2">
        <v>95.56</v>
      </c>
      <c r="J72" s="2">
        <v>95.57</v>
      </c>
      <c r="K72" s="2">
        <v>95.56</v>
      </c>
      <c r="L72" s="2">
        <v>0.1658</v>
      </c>
      <c r="M72" s="2">
        <v>119</v>
      </c>
      <c r="N72" s="2">
        <v>340362</v>
      </c>
      <c r="O72" s="2">
        <v>0.42730000000000001</v>
      </c>
      <c r="P72" s="2">
        <v>61.321300000000001</v>
      </c>
      <c r="Q72" s="2">
        <v>2.58</v>
      </c>
      <c r="R72" s="2">
        <v>369.92</v>
      </c>
      <c r="S72" s="2">
        <v>2.5000000000000001E-4</v>
      </c>
    </row>
    <row r="73" spans="1:19" x14ac:dyDescent="0.2">
      <c r="A73" s="2">
        <v>200</v>
      </c>
      <c r="B73" s="2">
        <v>37</v>
      </c>
      <c r="C73" s="2">
        <v>23</v>
      </c>
      <c r="D73" s="2">
        <v>800</v>
      </c>
      <c r="E73" s="2">
        <v>31</v>
      </c>
      <c r="F73" s="2">
        <v>64</v>
      </c>
      <c r="G73" s="2">
        <v>0.01</v>
      </c>
      <c r="H73" s="2">
        <v>95.55</v>
      </c>
      <c r="I73" s="2">
        <v>95.52</v>
      </c>
      <c r="J73" s="2">
        <v>95.52</v>
      </c>
      <c r="K73" s="2">
        <v>95.52</v>
      </c>
      <c r="L73" s="2">
        <v>0.1139</v>
      </c>
      <c r="M73" s="2">
        <v>110</v>
      </c>
      <c r="N73" s="2">
        <v>257802</v>
      </c>
      <c r="O73" s="2">
        <v>0.42730000000000001</v>
      </c>
      <c r="P73" s="2">
        <v>61.321300000000001</v>
      </c>
      <c r="Q73" s="2">
        <v>3.75</v>
      </c>
      <c r="R73" s="2">
        <v>538.42999999999995</v>
      </c>
      <c r="S73" s="2">
        <v>5.5999999999999995E-4</v>
      </c>
    </row>
    <row r="74" spans="1:19" x14ac:dyDescent="0.2">
      <c r="A74" s="2">
        <v>200</v>
      </c>
      <c r="B74" s="2">
        <v>37</v>
      </c>
      <c r="C74" s="2">
        <v>23</v>
      </c>
      <c r="D74" s="2">
        <v>800</v>
      </c>
      <c r="E74" s="2">
        <v>31</v>
      </c>
      <c r="F74" s="2">
        <v>32</v>
      </c>
      <c r="G74" s="2">
        <v>0.01</v>
      </c>
      <c r="H74" s="2">
        <v>95.44</v>
      </c>
      <c r="I74" s="2">
        <v>95.38</v>
      </c>
      <c r="J74" s="2">
        <v>95.42</v>
      </c>
      <c r="K74" s="2">
        <v>95.39</v>
      </c>
      <c r="L74" s="2">
        <v>0.12790000000000001</v>
      </c>
      <c r="M74" s="2">
        <v>126</v>
      </c>
      <c r="N74" s="2">
        <v>65418</v>
      </c>
      <c r="O74" s="2">
        <v>0.42730000000000001</v>
      </c>
      <c r="P74" s="2">
        <v>61.321300000000001</v>
      </c>
      <c r="Q74" s="2">
        <v>3.34</v>
      </c>
      <c r="R74" s="2">
        <v>479.3</v>
      </c>
      <c r="S74" s="2">
        <v>5.9100000000000003E-3</v>
      </c>
    </row>
    <row r="75" spans="1:19" x14ac:dyDescent="0.2">
      <c r="A75" s="2">
        <v>200</v>
      </c>
      <c r="B75" s="2">
        <v>37</v>
      </c>
      <c r="C75" s="2">
        <v>23</v>
      </c>
      <c r="D75" s="2">
        <v>800</v>
      </c>
      <c r="E75" s="2">
        <v>41</v>
      </c>
      <c r="F75" s="2">
        <v>32</v>
      </c>
      <c r="G75" s="2">
        <v>1E-3</v>
      </c>
      <c r="H75" s="2">
        <v>95.41</v>
      </c>
      <c r="I75" s="2">
        <v>95.38</v>
      </c>
      <c r="J75" s="2">
        <v>95.38</v>
      </c>
      <c r="K75" s="2">
        <v>95.37</v>
      </c>
      <c r="L75" s="2">
        <v>8.9499999999999996E-2</v>
      </c>
      <c r="M75" s="2">
        <v>79</v>
      </c>
      <c r="N75" s="2">
        <v>86218</v>
      </c>
      <c r="O75" s="2">
        <v>0.42730000000000001</v>
      </c>
      <c r="P75" s="2">
        <v>61.321300000000001</v>
      </c>
      <c r="Q75" s="2">
        <v>4.7699999999999996</v>
      </c>
      <c r="R75" s="2">
        <v>684.93</v>
      </c>
      <c r="S75" s="2">
        <v>1.37E-2</v>
      </c>
    </row>
    <row r="76" spans="1:19" x14ac:dyDescent="0.2">
      <c r="A76" s="2">
        <v>200</v>
      </c>
      <c r="B76" s="2">
        <v>37</v>
      </c>
      <c r="C76" s="2">
        <v>23</v>
      </c>
      <c r="D76" s="2">
        <v>800</v>
      </c>
      <c r="E76" s="2">
        <v>41</v>
      </c>
      <c r="F76" s="2">
        <v>32</v>
      </c>
      <c r="G76" s="2">
        <v>0.01</v>
      </c>
      <c r="H76" s="2">
        <v>95.39</v>
      </c>
      <c r="I76" s="2">
        <v>95.36</v>
      </c>
      <c r="J76" s="2">
        <v>95.35</v>
      </c>
      <c r="K76" s="2">
        <v>95.35</v>
      </c>
      <c r="L76" s="2">
        <v>8.7400000000000005E-2</v>
      </c>
      <c r="M76" s="2">
        <v>83</v>
      </c>
      <c r="N76" s="2">
        <v>86218</v>
      </c>
      <c r="O76" s="2">
        <v>0.42730000000000001</v>
      </c>
      <c r="P76" s="2">
        <v>61.321300000000001</v>
      </c>
      <c r="Q76" s="2">
        <v>4.8899999999999997</v>
      </c>
      <c r="R76" s="2">
        <v>701.46</v>
      </c>
      <c r="S76" s="2">
        <v>1.2500000000000001E-2</v>
      </c>
    </row>
    <row r="77" spans="1:19" x14ac:dyDescent="0.2">
      <c r="A77" s="2">
        <v>200</v>
      </c>
      <c r="B77" s="2">
        <v>37</v>
      </c>
      <c r="C77" s="2">
        <v>23</v>
      </c>
      <c r="D77" s="2">
        <v>800</v>
      </c>
      <c r="E77" s="2">
        <v>31</v>
      </c>
      <c r="F77" s="2">
        <v>32</v>
      </c>
      <c r="G77" s="2">
        <v>1E-3</v>
      </c>
      <c r="H77" s="2">
        <v>95.21</v>
      </c>
      <c r="I77" s="2">
        <v>95.17</v>
      </c>
      <c r="J77" s="2">
        <v>95.17</v>
      </c>
      <c r="K77" s="2">
        <v>95.17</v>
      </c>
      <c r="L77" s="2">
        <v>7.0499999999999993E-2</v>
      </c>
      <c r="M77" s="2">
        <v>150</v>
      </c>
      <c r="N77" s="2">
        <v>65418</v>
      </c>
      <c r="O77" s="2">
        <v>0.42730000000000001</v>
      </c>
      <c r="P77" s="2">
        <v>61.321300000000001</v>
      </c>
      <c r="Q77" s="2">
        <v>6.07</v>
      </c>
      <c r="R77" s="2">
        <v>870.3</v>
      </c>
      <c r="S77" s="2">
        <v>9.0000000000000006E-5</v>
      </c>
    </row>
    <row r="78" spans="1:19" x14ac:dyDescent="0.2">
      <c r="A78" s="2">
        <v>200</v>
      </c>
      <c r="B78" s="2">
        <v>37</v>
      </c>
      <c r="C78" s="2">
        <v>23</v>
      </c>
      <c r="D78" s="2">
        <v>800</v>
      </c>
      <c r="E78" s="2">
        <v>21</v>
      </c>
      <c r="F78" s="2">
        <v>64</v>
      </c>
      <c r="G78" s="2">
        <v>1E-3</v>
      </c>
      <c r="H78" s="2">
        <v>94.75</v>
      </c>
      <c r="I78" s="2">
        <v>94.7</v>
      </c>
      <c r="J78" s="2">
        <v>94.72</v>
      </c>
      <c r="K78" s="2">
        <v>94.7</v>
      </c>
      <c r="L78" s="2">
        <v>8.6199999999999999E-2</v>
      </c>
      <c r="M78" s="2">
        <v>139</v>
      </c>
      <c r="N78" s="2">
        <v>175242</v>
      </c>
      <c r="O78" s="2">
        <v>0.42730000000000001</v>
      </c>
      <c r="P78" s="2">
        <v>61.321300000000001</v>
      </c>
      <c r="Q78" s="2">
        <v>4.96</v>
      </c>
      <c r="R78" s="2">
        <v>711.47</v>
      </c>
      <c r="S78" s="2">
        <v>1.65E-3</v>
      </c>
    </row>
    <row r="79" spans="1:19" x14ac:dyDescent="0.2">
      <c r="A79" s="2">
        <v>200</v>
      </c>
      <c r="B79" s="2">
        <v>37</v>
      </c>
      <c r="C79" s="2">
        <v>23</v>
      </c>
      <c r="D79" s="2">
        <v>800</v>
      </c>
      <c r="E79" s="2">
        <v>21</v>
      </c>
      <c r="F79" s="2">
        <v>64</v>
      </c>
      <c r="G79" s="2">
        <v>0.01</v>
      </c>
      <c r="H79" s="2">
        <v>94.63</v>
      </c>
      <c r="I79" s="2">
        <v>94.63</v>
      </c>
      <c r="J79" s="2">
        <v>94.58</v>
      </c>
      <c r="K79" s="2">
        <v>94.59</v>
      </c>
      <c r="L79" s="2">
        <v>0.1</v>
      </c>
      <c r="M79" s="2">
        <v>145</v>
      </c>
      <c r="N79" s="2">
        <v>175242</v>
      </c>
      <c r="O79" s="2">
        <v>0.42730000000000001</v>
      </c>
      <c r="P79" s="2">
        <v>61.321300000000001</v>
      </c>
      <c r="Q79" s="2">
        <v>4.2699999999999996</v>
      </c>
      <c r="R79" s="2">
        <v>613.09</v>
      </c>
      <c r="S79" s="2">
        <v>1.3820000000000001E-2</v>
      </c>
    </row>
    <row r="80" spans="1:19" x14ac:dyDescent="0.2">
      <c r="A80" s="2">
        <v>200</v>
      </c>
      <c r="B80" s="2">
        <v>37</v>
      </c>
      <c r="C80" s="2">
        <v>23</v>
      </c>
      <c r="D80" s="2">
        <v>800</v>
      </c>
      <c r="E80" s="2">
        <v>21</v>
      </c>
      <c r="F80" s="2">
        <v>32</v>
      </c>
      <c r="G80" s="2">
        <v>0.01</v>
      </c>
      <c r="H80" s="2">
        <v>94.49</v>
      </c>
      <c r="I80" s="2">
        <v>94.46</v>
      </c>
      <c r="J80" s="2">
        <v>94.44</v>
      </c>
      <c r="K80" s="2">
        <v>94.44</v>
      </c>
      <c r="L80" s="2">
        <v>9.6799999999999997E-2</v>
      </c>
      <c r="M80" s="2">
        <v>151</v>
      </c>
      <c r="N80" s="2">
        <v>44618</v>
      </c>
      <c r="O80" s="2">
        <v>0.42730000000000001</v>
      </c>
      <c r="P80" s="2">
        <v>61.321300000000001</v>
      </c>
      <c r="Q80" s="2">
        <v>4.41</v>
      </c>
      <c r="R80" s="2">
        <v>633.41999999999996</v>
      </c>
      <c r="S80" s="2">
        <v>3.0519999999999999E-2</v>
      </c>
    </row>
    <row r="81" spans="1:19" x14ac:dyDescent="0.2">
      <c r="A81" s="2">
        <v>200</v>
      </c>
      <c r="B81" s="2">
        <v>37</v>
      </c>
      <c r="C81" s="2">
        <v>23</v>
      </c>
      <c r="D81" s="2">
        <v>800</v>
      </c>
      <c r="E81" s="2">
        <v>21</v>
      </c>
      <c r="F81" s="2">
        <v>32</v>
      </c>
      <c r="G81" s="2">
        <v>1E-3</v>
      </c>
      <c r="H81" s="2">
        <v>94.1</v>
      </c>
      <c r="I81" s="2">
        <v>94.05</v>
      </c>
      <c r="J81" s="2">
        <v>94.08</v>
      </c>
      <c r="K81" s="2">
        <v>94.06</v>
      </c>
      <c r="L81" s="2">
        <v>0.12230000000000001</v>
      </c>
      <c r="M81" s="2">
        <v>149</v>
      </c>
      <c r="N81" s="2">
        <v>44618</v>
      </c>
      <c r="O81" s="2">
        <v>0.42730000000000001</v>
      </c>
      <c r="P81" s="2">
        <v>61.321300000000001</v>
      </c>
      <c r="Q81" s="2">
        <v>3.49</v>
      </c>
      <c r="R81" s="2">
        <v>501.48</v>
      </c>
      <c r="S81" s="2">
        <v>2.4119999999999999E-2</v>
      </c>
    </row>
    <row r="82" spans="1:19" x14ac:dyDescent="0.2">
      <c r="A82" s="2">
        <v>200</v>
      </c>
      <c r="B82" s="2">
        <v>37</v>
      </c>
      <c r="C82" s="2">
        <v>23</v>
      </c>
      <c r="D82" s="2">
        <v>800</v>
      </c>
      <c r="E82" s="2">
        <v>11</v>
      </c>
      <c r="F82" s="2">
        <v>64</v>
      </c>
      <c r="G82" s="2">
        <v>1E-3</v>
      </c>
      <c r="H82" s="2">
        <v>91.01</v>
      </c>
      <c r="I82" s="2">
        <v>90.95</v>
      </c>
      <c r="J82" s="2">
        <v>90.94</v>
      </c>
      <c r="K82" s="2">
        <v>90.94</v>
      </c>
      <c r="L82" s="2">
        <v>6.9400000000000003E-2</v>
      </c>
      <c r="M82" s="2">
        <v>162</v>
      </c>
      <c r="N82" s="2">
        <v>92682</v>
      </c>
      <c r="O82" s="2">
        <v>0.42730000000000001</v>
      </c>
      <c r="P82" s="2">
        <v>61.321300000000001</v>
      </c>
      <c r="Q82" s="2">
        <v>6.16</v>
      </c>
      <c r="R82" s="2">
        <v>883.85</v>
      </c>
      <c r="S82" s="2">
        <v>5.5999999999999995E-4</v>
      </c>
    </row>
    <row r="83" spans="1:19" x14ac:dyDescent="0.2">
      <c r="A83" s="2">
        <v>200</v>
      </c>
      <c r="B83" s="2">
        <v>37</v>
      </c>
      <c r="C83" s="2">
        <v>23</v>
      </c>
      <c r="D83" s="2">
        <v>800</v>
      </c>
      <c r="E83" s="2">
        <v>11</v>
      </c>
      <c r="F83" s="2">
        <v>64</v>
      </c>
      <c r="G83" s="2">
        <v>0.01</v>
      </c>
      <c r="H83" s="2">
        <v>90.57</v>
      </c>
      <c r="I83" s="2">
        <v>90.53</v>
      </c>
      <c r="J83" s="2">
        <v>90.52</v>
      </c>
      <c r="K83" s="2">
        <v>90.5</v>
      </c>
      <c r="L83" s="2">
        <v>7.6600000000000001E-2</v>
      </c>
      <c r="M83" s="2">
        <v>161</v>
      </c>
      <c r="N83" s="2">
        <v>92682</v>
      </c>
      <c r="O83" s="2">
        <v>0.42730000000000001</v>
      </c>
      <c r="P83" s="2">
        <v>61.321300000000001</v>
      </c>
      <c r="Q83" s="2">
        <v>5.58</v>
      </c>
      <c r="R83" s="2">
        <v>800.75</v>
      </c>
      <c r="S83" s="2">
        <v>1.3600000000000001E-3</v>
      </c>
    </row>
    <row r="84" spans="1:19" x14ac:dyDescent="0.2">
      <c r="A84" s="2">
        <v>200</v>
      </c>
      <c r="B84" s="2">
        <v>37</v>
      </c>
      <c r="C84" s="2">
        <v>23</v>
      </c>
      <c r="D84" s="2">
        <v>800</v>
      </c>
      <c r="E84" s="2">
        <v>11</v>
      </c>
      <c r="F84" s="2">
        <v>32</v>
      </c>
      <c r="G84" s="2">
        <v>1E-3</v>
      </c>
      <c r="H84" s="2">
        <v>90.12</v>
      </c>
      <c r="I84" s="2">
        <v>90.05</v>
      </c>
      <c r="J84" s="2">
        <v>90.04</v>
      </c>
      <c r="K84" s="2">
        <v>90.03</v>
      </c>
      <c r="L84" s="2">
        <v>7.7799999999999994E-2</v>
      </c>
      <c r="M84" s="2">
        <v>152</v>
      </c>
      <c r="N84" s="2">
        <v>23818</v>
      </c>
      <c r="O84" s="2">
        <v>0.42730000000000001</v>
      </c>
      <c r="P84" s="2">
        <v>61.321300000000001</v>
      </c>
      <c r="Q84" s="2">
        <v>5.49</v>
      </c>
      <c r="R84" s="2">
        <v>788.09</v>
      </c>
      <c r="S84" s="2">
        <v>2.3800000000000002E-3</v>
      </c>
    </row>
    <row r="85" spans="1:19" x14ac:dyDescent="0.2">
      <c r="A85" s="2">
        <v>200</v>
      </c>
      <c r="B85" s="2">
        <v>37</v>
      </c>
      <c r="C85" s="2">
        <v>23</v>
      </c>
      <c r="D85" s="2">
        <v>800</v>
      </c>
      <c r="E85" s="2">
        <v>11</v>
      </c>
      <c r="F85" s="2">
        <v>32</v>
      </c>
      <c r="G85" s="2">
        <v>0.01</v>
      </c>
      <c r="H85" s="2">
        <v>89.93</v>
      </c>
      <c r="I85" s="2">
        <v>89.97</v>
      </c>
      <c r="J85" s="2">
        <v>89.87</v>
      </c>
      <c r="K85" s="2">
        <v>89.88</v>
      </c>
      <c r="L85" s="2">
        <v>7.1400000000000005E-2</v>
      </c>
      <c r="M85" s="2">
        <v>152</v>
      </c>
      <c r="N85" s="2">
        <v>23818</v>
      </c>
      <c r="O85" s="2">
        <v>0.42730000000000001</v>
      </c>
      <c r="P85" s="2">
        <v>61.321300000000001</v>
      </c>
      <c r="Q85" s="2">
        <v>5.99</v>
      </c>
      <c r="R85" s="2">
        <v>858.96</v>
      </c>
      <c r="S85" s="2">
        <v>8.1999999999999998E-4</v>
      </c>
    </row>
    <row r="86" spans="1:19" x14ac:dyDescent="0.2">
      <c r="A86" s="1">
        <v>500</v>
      </c>
      <c r="B86" s="1">
        <v>39</v>
      </c>
      <c r="C86" s="1">
        <v>41</v>
      </c>
      <c r="D86" s="1">
        <v>1200</v>
      </c>
      <c r="E86" s="1">
        <v>91</v>
      </c>
      <c r="F86" s="1">
        <v>64</v>
      </c>
      <c r="G86" s="1">
        <v>1E-3</v>
      </c>
      <c r="H86" s="1">
        <v>98.6</v>
      </c>
      <c r="I86" s="1">
        <v>98.58</v>
      </c>
      <c r="J86" s="1">
        <v>98.59</v>
      </c>
      <c r="K86" s="1">
        <v>98.59</v>
      </c>
      <c r="L86" s="1">
        <v>0.68120000000000003</v>
      </c>
      <c r="M86" s="1">
        <v>559</v>
      </c>
      <c r="N86" s="1">
        <v>753162</v>
      </c>
      <c r="O86" s="1">
        <v>0.34139999999999998</v>
      </c>
      <c r="P86" s="1">
        <v>152.1019</v>
      </c>
      <c r="Q86" s="1">
        <v>0.5</v>
      </c>
      <c r="R86" s="1">
        <v>223.28</v>
      </c>
      <c r="S86" s="1">
        <v>6.4000000000000005E-4</v>
      </c>
    </row>
    <row r="87" spans="1:19" x14ac:dyDescent="0.2">
      <c r="A87" s="1">
        <v>500</v>
      </c>
      <c r="B87" s="1">
        <v>39</v>
      </c>
      <c r="C87" s="1">
        <v>41</v>
      </c>
      <c r="D87" s="1">
        <v>1200</v>
      </c>
      <c r="E87" s="1">
        <v>81</v>
      </c>
      <c r="F87" s="1">
        <v>64</v>
      </c>
      <c r="G87" s="1">
        <v>0.01</v>
      </c>
      <c r="H87" s="1">
        <v>98.39</v>
      </c>
      <c r="I87" s="1">
        <v>98.38</v>
      </c>
      <c r="J87" s="1">
        <v>98.37</v>
      </c>
      <c r="K87" s="1">
        <v>98.37</v>
      </c>
      <c r="L87" s="1">
        <v>0.62909999999999999</v>
      </c>
      <c r="M87" s="1">
        <v>522</v>
      </c>
      <c r="N87" s="1">
        <v>670602</v>
      </c>
      <c r="O87" s="1">
        <v>0.34139999999999998</v>
      </c>
      <c r="P87" s="1">
        <v>152.1019</v>
      </c>
      <c r="Q87" s="1">
        <v>0.54</v>
      </c>
      <c r="R87" s="1">
        <v>241.76</v>
      </c>
      <c r="S87" s="1">
        <v>9.0000000000000006E-5</v>
      </c>
    </row>
    <row r="88" spans="1:19" x14ac:dyDescent="0.2">
      <c r="A88" s="1">
        <v>500</v>
      </c>
      <c r="B88" s="1">
        <v>39</v>
      </c>
      <c r="C88" s="1">
        <v>41</v>
      </c>
      <c r="D88" s="1">
        <v>1200</v>
      </c>
      <c r="E88" s="1">
        <v>71</v>
      </c>
      <c r="F88" s="1">
        <v>64</v>
      </c>
      <c r="G88" s="1">
        <v>1E-3</v>
      </c>
      <c r="H88" s="1">
        <v>98.36</v>
      </c>
      <c r="I88" s="1">
        <v>98.35</v>
      </c>
      <c r="J88" s="1">
        <v>98.35</v>
      </c>
      <c r="K88" s="1">
        <v>98.35</v>
      </c>
      <c r="L88" s="1">
        <v>0.56489999999999996</v>
      </c>
      <c r="M88" s="1">
        <v>436</v>
      </c>
      <c r="N88" s="1">
        <v>588042</v>
      </c>
      <c r="O88" s="1">
        <v>0.34139999999999998</v>
      </c>
      <c r="P88" s="1">
        <v>152.1019</v>
      </c>
      <c r="Q88" s="1">
        <v>0.6</v>
      </c>
      <c r="R88" s="1">
        <v>269.27</v>
      </c>
      <c r="S88" s="1">
        <v>5.9999999999999995E-4</v>
      </c>
    </row>
    <row r="89" spans="1:19" x14ac:dyDescent="0.2">
      <c r="A89" s="1">
        <v>500</v>
      </c>
      <c r="B89" s="1">
        <v>39</v>
      </c>
      <c r="C89" s="1">
        <v>41</v>
      </c>
      <c r="D89" s="1">
        <v>1200</v>
      </c>
      <c r="E89" s="1">
        <v>91</v>
      </c>
      <c r="F89" s="1">
        <v>32</v>
      </c>
      <c r="G89" s="1">
        <v>0.01</v>
      </c>
      <c r="H89" s="1">
        <v>98.35</v>
      </c>
      <c r="I89" s="1">
        <v>98.33</v>
      </c>
      <c r="J89" s="1">
        <v>98.34</v>
      </c>
      <c r="K89" s="1">
        <v>98.33</v>
      </c>
      <c r="L89" s="1">
        <v>0.3634</v>
      </c>
      <c r="M89" s="1">
        <v>172</v>
      </c>
      <c r="N89" s="1">
        <v>190218</v>
      </c>
      <c r="O89" s="1">
        <v>0.34139999999999998</v>
      </c>
      <c r="P89" s="1">
        <v>152.1019</v>
      </c>
      <c r="Q89" s="1">
        <v>0.94</v>
      </c>
      <c r="R89" s="1">
        <v>418.61</v>
      </c>
      <c r="S89" s="1">
        <v>2.0300000000000001E-3</v>
      </c>
    </row>
    <row r="90" spans="1:19" x14ac:dyDescent="0.2">
      <c r="A90" s="1">
        <v>500</v>
      </c>
      <c r="B90" s="1">
        <v>39</v>
      </c>
      <c r="C90" s="1">
        <v>41</v>
      </c>
      <c r="D90" s="1">
        <v>1200</v>
      </c>
      <c r="E90" s="1">
        <v>91</v>
      </c>
      <c r="F90" s="1">
        <v>64</v>
      </c>
      <c r="G90" s="1">
        <v>0.01</v>
      </c>
      <c r="H90" s="1">
        <v>98.29</v>
      </c>
      <c r="I90" s="1">
        <v>98.27</v>
      </c>
      <c r="J90" s="1">
        <v>98.27</v>
      </c>
      <c r="K90" s="1">
        <v>98.27</v>
      </c>
      <c r="L90" s="1">
        <v>0.69599999999999995</v>
      </c>
      <c r="M90" s="1">
        <v>403</v>
      </c>
      <c r="N90" s="1">
        <v>753162</v>
      </c>
      <c r="O90" s="1">
        <v>0.34139999999999998</v>
      </c>
      <c r="P90" s="1">
        <v>152.1019</v>
      </c>
      <c r="Q90" s="1">
        <v>0.49</v>
      </c>
      <c r="R90" s="1">
        <v>218.53</v>
      </c>
      <c r="S90" s="1">
        <v>8.0000000000000007E-5</v>
      </c>
    </row>
    <row r="91" spans="1:19" x14ac:dyDescent="0.2">
      <c r="A91" s="1">
        <v>500</v>
      </c>
      <c r="B91" s="1">
        <v>39</v>
      </c>
      <c r="C91" s="1">
        <v>41</v>
      </c>
      <c r="D91" s="1">
        <v>1200</v>
      </c>
      <c r="E91" s="1">
        <v>81</v>
      </c>
      <c r="F91" s="1">
        <v>32</v>
      </c>
      <c r="G91" s="1">
        <v>0.01</v>
      </c>
      <c r="H91" s="1">
        <v>98.27</v>
      </c>
      <c r="I91" s="1">
        <v>98.25</v>
      </c>
      <c r="J91" s="1">
        <v>98.25</v>
      </c>
      <c r="K91" s="1">
        <v>98.25</v>
      </c>
      <c r="L91" s="1">
        <v>0.3306</v>
      </c>
      <c r="M91" s="1">
        <v>217</v>
      </c>
      <c r="N91" s="1">
        <v>169418</v>
      </c>
      <c r="O91" s="1">
        <v>0.34139999999999998</v>
      </c>
      <c r="P91" s="1">
        <v>152.1019</v>
      </c>
      <c r="Q91" s="1">
        <v>1.03</v>
      </c>
      <c r="R91" s="1">
        <v>460.05</v>
      </c>
      <c r="S91" s="1">
        <v>1.5499999999999999E-3</v>
      </c>
    </row>
    <row r="92" spans="1:19" x14ac:dyDescent="0.2">
      <c r="A92" s="1">
        <v>500</v>
      </c>
      <c r="B92" s="1">
        <v>39</v>
      </c>
      <c r="C92" s="1">
        <v>41</v>
      </c>
      <c r="D92" s="1">
        <v>1200</v>
      </c>
      <c r="E92" s="1">
        <v>71</v>
      </c>
      <c r="F92" s="1">
        <v>64</v>
      </c>
      <c r="G92" s="1">
        <v>0.01</v>
      </c>
      <c r="H92" s="1">
        <v>98.26</v>
      </c>
      <c r="I92" s="1">
        <v>98.26</v>
      </c>
      <c r="J92" s="1">
        <v>98.23</v>
      </c>
      <c r="K92" s="1">
        <v>98.24</v>
      </c>
      <c r="L92" s="1">
        <v>0.56599999999999995</v>
      </c>
      <c r="M92" s="1">
        <v>258</v>
      </c>
      <c r="N92" s="1">
        <v>588042</v>
      </c>
      <c r="O92" s="1">
        <v>0.34139999999999998</v>
      </c>
      <c r="P92" s="1">
        <v>152.1019</v>
      </c>
      <c r="Q92" s="1">
        <v>0.6</v>
      </c>
      <c r="R92" s="1">
        <v>268.73</v>
      </c>
      <c r="S92" s="1">
        <v>5.0000000000000001E-4</v>
      </c>
    </row>
    <row r="93" spans="1:19" x14ac:dyDescent="0.2">
      <c r="A93" s="1">
        <v>500</v>
      </c>
      <c r="B93" s="1">
        <v>39</v>
      </c>
      <c r="C93" s="1">
        <v>41</v>
      </c>
      <c r="D93" s="1">
        <v>1200</v>
      </c>
      <c r="E93" s="1">
        <v>81</v>
      </c>
      <c r="F93" s="1">
        <v>64</v>
      </c>
      <c r="G93" s="1">
        <v>1E-3</v>
      </c>
      <c r="H93" s="1">
        <v>98.25</v>
      </c>
      <c r="I93" s="1">
        <v>98.23</v>
      </c>
      <c r="J93" s="1">
        <v>98.24</v>
      </c>
      <c r="K93" s="1">
        <v>98.23</v>
      </c>
      <c r="L93" s="1">
        <v>0.62929999999999997</v>
      </c>
      <c r="M93" s="1">
        <v>270</v>
      </c>
      <c r="N93" s="1">
        <v>670602</v>
      </c>
      <c r="O93" s="1">
        <v>0.34139999999999998</v>
      </c>
      <c r="P93" s="1">
        <v>152.1019</v>
      </c>
      <c r="Q93" s="1">
        <v>0.54</v>
      </c>
      <c r="R93" s="1">
        <v>241.71</v>
      </c>
      <c r="S93" s="1">
        <v>3.0000000000000001E-5</v>
      </c>
    </row>
    <row r="94" spans="1:19" x14ac:dyDescent="0.2">
      <c r="A94" s="1">
        <v>500</v>
      </c>
      <c r="B94" s="1">
        <v>39</v>
      </c>
      <c r="C94" s="1">
        <v>41</v>
      </c>
      <c r="D94" s="1">
        <v>1200</v>
      </c>
      <c r="E94" s="1">
        <v>91</v>
      </c>
      <c r="F94" s="1">
        <v>32</v>
      </c>
      <c r="G94" s="1">
        <v>1E-3</v>
      </c>
      <c r="H94" s="1">
        <v>98.08</v>
      </c>
      <c r="I94" s="1">
        <v>98.06</v>
      </c>
      <c r="J94" s="1">
        <v>98.07</v>
      </c>
      <c r="K94" s="1">
        <v>98.06</v>
      </c>
      <c r="L94" s="1">
        <v>0.3755</v>
      </c>
      <c r="M94" s="1">
        <v>137</v>
      </c>
      <c r="N94" s="1">
        <v>190218</v>
      </c>
      <c r="O94" s="1">
        <v>0.34139999999999998</v>
      </c>
      <c r="P94" s="1">
        <v>152.1019</v>
      </c>
      <c r="Q94" s="1">
        <v>0.91</v>
      </c>
      <c r="R94" s="1">
        <v>405.02</v>
      </c>
      <c r="S94" s="1">
        <v>9.7999999999999997E-4</v>
      </c>
    </row>
    <row r="95" spans="1:19" x14ac:dyDescent="0.2">
      <c r="A95" s="1">
        <v>500</v>
      </c>
      <c r="B95" s="1">
        <v>39</v>
      </c>
      <c r="C95" s="1">
        <v>41</v>
      </c>
      <c r="D95" s="1">
        <v>1200</v>
      </c>
      <c r="E95" s="1">
        <v>71</v>
      </c>
      <c r="F95" s="1">
        <v>32</v>
      </c>
      <c r="G95" s="1">
        <v>1E-3</v>
      </c>
      <c r="H95" s="1">
        <v>98.01</v>
      </c>
      <c r="I95" s="1">
        <v>97.98</v>
      </c>
      <c r="J95" s="1">
        <v>98</v>
      </c>
      <c r="K95" s="1">
        <v>97.99</v>
      </c>
      <c r="L95" s="1">
        <v>0.29249999999999998</v>
      </c>
      <c r="M95" s="1">
        <v>137</v>
      </c>
      <c r="N95" s="1">
        <v>148618</v>
      </c>
      <c r="O95" s="1">
        <v>0.34139999999999998</v>
      </c>
      <c r="P95" s="1">
        <v>152.1019</v>
      </c>
      <c r="Q95" s="1">
        <v>1.17</v>
      </c>
      <c r="R95" s="1">
        <v>519.91999999999996</v>
      </c>
      <c r="S95" s="1">
        <v>7.3999999999999999E-4</v>
      </c>
    </row>
    <row r="96" spans="1:19" x14ac:dyDescent="0.2">
      <c r="A96" s="1">
        <v>500</v>
      </c>
      <c r="B96" s="1">
        <v>39</v>
      </c>
      <c r="C96" s="1">
        <v>41</v>
      </c>
      <c r="D96" s="1">
        <v>1200</v>
      </c>
      <c r="E96" s="1">
        <v>81</v>
      </c>
      <c r="F96" s="1">
        <v>32</v>
      </c>
      <c r="G96" s="1">
        <v>1E-3</v>
      </c>
      <c r="H96" s="1">
        <v>98.01</v>
      </c>
      <c r="I96" s="1">
        <v>98</v>
      </c>
      <c r="J96" s="1">
        <v>97.99</v>
      </c>
      <c r="K96" s="1">
        <v>98</v>
      </c>
      <c r="L96" s="1">
        <v>0.32890000000000003</v>
      </c>
      <c r="M96" s="1">
        <v>128</v>
      </c>
      <c r="N96" s="1">
        <v>169418</v>
      </c>
      <c r="O96" s="1">
        <v>0.34139999999999998</v>
      </c>
      <c r="P96" s="1">
        <v>152.1019</v>
      </c>
      <c r="Q96" s="1">
        <v>1.04</v>
      </c>
      <c r="R96" s="1">
        <v>462.47</v>
      </c>
      <c r="S96" s="1">
        <v>1.4999999999999999E-4</v>
      </c>
    </row>
    <row r="97" spans="1:19" x14ac:dyDescent="0.2">
      <c r="A97" s="1">
        <v>500</v>
      </c>
      <c r="B97" s="1">
        <v>39</v>
      </c>
      <c r="C97" s="1">
        <v>41</v>
      </c>
      <c r="D97" s="1">
        <v>1200</v>
      </c>
      <c r="E97" s="1">
        <v>41</v>
      </c>
      <c r="F97" s="1">
        <v>64</v>
      </c>
      <c r="G97" s="1">
        <v>1E-3</v>
      </c>
      <c r="H97" s="1">
        <v>98</v>
      </c>
      <c r="I97" s="1">
        <v>97.99</v>
      </c>
      <c r="J97" s="1">
        <v>97.98</v>
      </c>
      <c r="K97" s="1">
        <v>97.98</v>
      </c>
      <c r="L97" s="1">
        <v>0.36520000000000002</v>
      </c>
      <c r="M97" s="1">
        <v>199</v>
      </c>
      <c r="N97" s="1">
        <v>340362</v>
      </c>
      <c r="O97" s="1">
        <v>0.34139999999999998</v>
      </c>
      <c r="P97" s="1">
        <v>152.1019</v>
      </c>
      <c r="Q97" s="1">
        <v>0.93</v>
      </c>
      <c r="R97" s="1">
        <v>416.47</v>
      </c>
      <c r="S97" s="1">
        <v>1.8400000000000001E-3</v>
      </c>
    </row>
    <row r="98" spans="1:19" x14ac:dyDescent="0.2">
      <c r="A98" s="1">
        <v>500</v>
      </c>
      <c r="B98" s="1">
        <v>39</v>
      </c>
      <c r="C98" s="1">
        <v>41</v>
      </c>
      <c r="D98" s="1">
        <v>1200</v>
      </c>
      <c r="E98" s="1">
        <v>71</v>
      </c>
      <c r="F98" s="1">
        <v>32</v>
      </c>
      <c r="G98" s="1">
        <v>0.01</v>
      </c>
      <c r="H98" s="1">
        <v>97.97</v>
      </c>
      <c r="I98" s="1">
        <v>97.96</v>
      </c>
      <c r="J98" s="1">
        <v>97.94</v>
      </c>
      <c r="K98" s="1">
        <v>97.95</v>
      </c>
      <c r="L98" s="1">
        <v>0.29170000000000001</v>
      </c>
      <c r="M98" s="1">
        <v>147</v>
      </c>
      <c r="N98" s="1">
        <v>148618</v>
      </c>
      <c r="O98" s="1">
        <v>0.34139999999999998</v>
      </c>
      <c r="P98" s="1">
        <v>152.1019</v>
      </c>
      <c r="Q98" s="1">
        <v>1.17</v>
      </c>
      <c r="R98" s="1">
        <v>521.45000000000005</v>
      </c>
      <c r="S98" s="1">
        <v>4.4000000000000002E-4</v>
      </c>
    </row>
    <row r="99" spans="1:19" x14ac:dyDescent="0.2">
      <c r="A99" s="1">
        <v>500</v>
      </c>
      <c r="B99" s="1">
        <v>39</v>
      </c>
      <c r="C99" s="1">
        <v>41</v>
      </c>
      <c r="D99" s="1">
        <v>1200</v>
      </c>
      <c r="E99" s="1">
        <v>41</v>
      </c>
      <c r="F99" s="1">
        <v>32</v>
      </c>
      <c r="G99" s="1">
        <v>1E-3</v>
      </c>
      <c r="H99" s="1">
        <v>97.93</v>
      </c>
      <c r="I99" s="1">
        <v>97.91</v>
      </c>
      <c r="J99" s="1">
        <v>97.92</v>
      </c>
      <c r="K99" s="1">
        <v>97.92</v>
      </c>
      <c r="L99" s="1">
        <v>0.18940000000000001</v>
      </c>
      <c r="M99" s="1">
        <v>159</v>
      </c>
      <c r="N99" s="1">
        <v>86218</v>
      </c>
      <c r="O99" s="1">
        <v>0.34139999999999998</v>
      </c>
      <c r="P99" s="1">
        <v>152.1019</v>
      </c>
      <c r="Q99" s="1">
        <v>1.8</v>
      </c>
      <c r="R99" s="1">
        <v>803.2</v>
      </c>
      <c r="S99" s="1">
        <v>1.8000000000000001E-4</v>
      </c>
    </row>
    <row r="100" spans="1:19" x14ac:dyDescent="0.2">
      <c r="A100" s="1">
        <v>500</v>
      </c>
      <c r="B100" s="1">
        <v>39</v>
      </c>
      <c r="C100" s="1">
        <v>41</v>
      </c>
      <c r="D100" s="1">
        <v>1200</v>
      </c>
      <c r="E100" s="1">
        <v>41</v>
      </c>
      <c r="F100" s="1">
        <v>64</v>
      </c>
      <c r="G100" s="1">
        <v>0.01</v>
      </c>
      <c r="H100" s="1">
        <v>97.88</v>
      </c>
      <c r="I100" s="1">
        <v>97.87</v>
      </c>
      <c r="J100" s="1">
        <v>97.85</v>
      </c>
      <c r="K100" s="1">
        <v>97.86</v>
      </c>
      <c r="L100" s="1">
        <v>0.37269999999999998</v>
      </c>
      <c r="M100" s="1">
        <v>179</v>
      </c>
      <c r="N100" s="1">
        <v>340362</v>
      </c>
      <c r="O100" s="1">
        <v>0.34139999999999998</v>
      </c>
      <c r="P100" s="1">
        <v>152.1019</v>
      </c>
      <c r="Q100" s="1">
        <v>0.92</v>
      </c>
      <c r="R100" s="1">
        <v>408.14</v>
      </c>
      <c r="S100" s="1">
        <v>1.2E-4</v>
      </c>
    </row>
    <row r="101" spans="1:19" x14ac:dyDescent="0.2">
      <c r="A101" s="1">
        <v>500</v>
      </c>
      <c r="B101" s="1">
        <v>39</v>
      </c>
      <c r="C101" s="1">
        <v>41</v>
      </c>
      <c r="D101" s="1">
        <v>1200</v>
      </c>
      <c r="E101" s="1">
        <v>31</v>
      </c>
      <c r="F101" s="1">
        <v>64</v>
      </c>
      <c r="G101" s="1">
        <v>1E-3</v>
      </c>
      <c r="H101" s="1">
        <v>97.67</v>
      </c>
      <c r="I101" s="1">
        <v>97.66</v>
      </c>
      <c r="J101" s="1">
        <v>97.64</v>
      </c>
      <c r="K101" s="1">
        <v>97.64</v>
      </c>
      <c r="L101" s="1">
        <v>0.2772</v>
      </c>
      <c r="M101" s="1">
        <v>245</v>
      </c>
      <c r="N101" s="1">
        <v>257802</v>
      </c>
      <c r="O101" s="1">
        <v>0.34139999999999998</v>
      </c>
      <c r="P101" s="1">
        <v>152.1019</v>
      </c>
      <c r="Q101" s="1">
        <v>1.23</v>
      </c>
      <c r="R101" s="1">
        <v>548.79</v>
      </c>
      <c r="S101" s="1">
        <v>2.0000000000000001E-4</v>
      </c>
    </row>
    <row r="102" spans="1:19" x14ac:dyDescent="0.2">
      <c r="A102" s="1">
        <v>500</v>
      </c>
      <c r="B102" s="1">
        <v>39</v>
      </c>
      <c r="C102" s="1">
        <v>41</v>
      </c>
      <c r="D102" s="1">
        <v>1200</v>
      </c>
      <c r="E102" s="1">
        <v>41</v>
      </c>
      <c r="F102" s="1">
        <v>32</v>
      </c>
      <c r="G102" s="1">
        <v>0.01</v>
      </c>
      <c r="H102" s="1">
        <v>97.64</v>
      </c>
      <c r="I102" s="1">
        <v>97.61</v>
      </c>
      <c r="J102" s="1">
        <v>97.62</v>
      </c>
      <c r="K102" s="1">
        <v>97.61</v>
      </c>
      <c r="L102" s="1">
        <v>0.18959999999999999</v>
      </c>
      <c r="M102" s="1">
        <v>106</v>
      </c>
      <c r="N102" s="1">
        <v>86218</v>
      </c>
      <c r="O102" s="1">
        <v>0.34139999999999998</v>
      </c>
      <c r="P102" s="1">
        <v>152.1019</v>
      </c>
      <c r="Q102" s="1">
        <v>1.8</v>
      </c>
      <c r="R102" s="1">
        <v>802.39</v>
      </c>
      <c r="S102" s="1">
        <v>6.4000000000000005E-4</v>
      </c>
    </row>
    <row r="103" spans="1:19" x14ac:dyDescent="0.2">
      <c r="A103" s="1">
        <v>500</v>
      </c>
      <c r="B103" s="1">
        <v>39</v>
      </c>
      <c r="C103" s="1">
        <v>41</v>
      </c>
      <c r="D103" s="1">
        <v>1200</v>
      </c>
      <c r="E103" s="1">
        <v>31</v>
      </c>
      <c r="F103" s="1">
        <v>64</v>
      </c>
      <c r="G103" s="1">
        <v>0.01</v>
      </c>
      <c r="H103" s="1">
        <v>97.27</v>
      </c>
      <c r="I103" s="1">
        <v>97.26</v>
      </c>
      <c r="J103" s="1">
        <v>97.23</v>
      </c>
      <c r="K103" s="1">
        <v>97.24</v>
      </c>
      <c r="L103" s="1">
        <v>0.2777</v>
      </c>
      <c r="M103" s="1">
        <v>152</v>
      </c>
      <c r="N103" s="1">
        <v>257802</v>
      </c>
      <c r="O103" s="1">
        <v>0.34139999999999998</v>
      </c>
      <c r="P103" s="1">
        <v>152.1019</v>
      </c>
      <c r="Q103" s="1">
        <v>1.23</v>
      </c>
      <c r="R103" s="1">
        <v>547.66</v>
      </c>
      <c r="S103" s="1">
        <v>1E-3</v>
      </c>
    </row>
    <row r="104" spans="1:19" x14ac:dyDescent="0.2">
      <c r="A104" s="1">
        <v>500</v>
      </c>
      <c r="B104" s="1">
        <v>39</v>
      </c>
      <c r="C104" s="1">
        <v>41</v>
      </c>
      <c r="D104" s="1">
        <v>1200</v>
      </c>
      <c r="E104" s="1">
        <v>31</v>
      </c>
      <c r="F104" s="1">
        <v>32</v>
      </c>
      <c r="G104" s="1">
        <v>1E-3</v>
      </c>
      <c r="H104" s="1">
        <v>97.2</v>
      </c>
      <c r="I104" s="1">
        <v>97.17</v>
      </c>
      <c r="J104" s="1">
        <v>97.18</v>
      </c>
      <c r="K104" s="1">
        <v>97.17</v>
      </c>
      <c r="L104" s="1">
        <v>0.1018</v>
      </c>
      <c r="M104" s="1">
        <v>160</v>
      </c>
      <c r="N104" s="1">
        <v>65418</v>
      </c>
      <c r="O104" s="1">
        <v>0.34139999999999998</v>
      </c>
      <c r="P104" s="1">
        <v>152.1019</v>
      </c>
      <c r="Q104" s="1">
        <v>3.35</v>
      </c>
      <c r="R104" s="1">
        <v>1494.71</v>
      </c>
      <c r="S104" s="1">
        <v>5.6899999999999997E-3</v>
      </c>
    </row>
    <row r="105" spans="1:19" x14ac:dyDescent="0.2">
      <c r="A105" s="1">
        <v>500</v>
      </c>
      <c r="B105" s="1">
        <v>39</v>
      </c>
      <c r="C105" s="1">
        <v>41</v>
      </c>
      <c r="D105" s="1">
        <v>1200</v>
      </c>
      <c r="E105" s="1">
        <v>31</v>
      </c>
      <c r="F105" s="1">
        <v>32</v>
      </c>
      <c r="G105" s="1">
        <v>0.01</v>
      </c>
      <c r="H105" s="1">
        <v>97.14</v>
      </c>
      <c r="I105" s="1">
        <v>97.13</v>
      </c>
      <c r="J105" s="1">
        <v>97.11</v>
      </c>
      <c r="K105" s="1">
        <v>97.11</v>
      </c>
      <c r="L105" s="1">
        <v>0.1018</v>
      </c>
      <c r="M105" s="1">
        <v>164</v>
      </c>
      <c r="N105" s="1">
        <v>65418</v>
      </c>
      <c r="O105" s="1">
        <v>0.34139999999999998</v>
      </c>
      <c r="P105" s="1">
        <v>152.1019</v>
      </c>
      <c r="Q105" s="1">
        <v>3.35</v>
      </c>
      <c r="R105" s="1">
        <v>1493.39</v>
      </c>
      <c r="S105" s="1">
        <v>6.2399999999999999E-3</v>
      </c>
    </row>
    <row r="106" spans="1:19" x14ac:dyDescent="0.2">
      <c r="A106" s="1">
        <v>500</v>
      </c>
      <c r="B106" s="1">
        <v>39</v>
      </c>
      <c r="C106" s="1">
        <v>41</v>
      </c>
      <c r="D106" s="1">
        <v>1200</v>
      </c>
      <c r="E106" s="1">
        <v>21</v>
      </c>
      <c r="F106" s="1">
        <v>64</v>
      </c>
      <c r="G106" s="1">
        <v>1E-3</v>
      </c>
      <c r="H106" s="1">
        <v>96.81</v>
      </c>
      <c r="I106" s="1">
        <v>96.77</v>
      </c>
      <c r="J106" s="1">
        <v>96.78</v>
      </c>
      <c r="K106" s="1">
        <v>96.77</v>
      </c>
      <c r="L106" s="1">
        <v>0.21590000000000001</v>
      </c>
      <c r="M106" s="1">
        <v>233</v>
      </c>
      <c r="N106" s="1">
        <v>175242</v>
      </c>
      <c r="O106" s="1">
        <v>0.34139999999999998</v>
      </c>
      <c r="P106" s="1">
        <v>152.1019</v>
      </c>
      <c r="Q106" s="1">
        <v>1.58</v>
      </c>
      <c r="R106" s="1">
        <v>704.63</v>
      </c>
      <c r="S106" s="1">
        <v>3.1E-4</v>
      </c>
    </row>
    <row r="107" spans="1:19" x14ac:dyDescent="0.2">
      <c r="A107" s="1">
        <v>500</v>
      </c>
      <c r="B107" s="1">
        <v>39</v>
      </c>
      <c r="C107" s="1">
        <v>41</v>
      </c>
      <c r="D107" s="1">
        <v>1200</v>
      </c>
      <c r="E107" s="1">
        <v>21</v>
      </c>
      <c r="F107" s="1">
        <v>64</v>
      </c>
      <c r="G107" s="1">
        <v>0.01</v>
      </c>
      <c r="H107" s="1">
        <v>96.6</v>
      </c>
      <c r="I107" s="1">
        <v>96.57</v>
      </c>
      <c r="J107" s="1">
        <v>96.57</v>
      </c>
      <c r="K107" s="1">
        <v>96.56</v>
      </c>
      <c r="L107" s="1">
        <v>0.2157</v>
      </c>
      <c r="M107" s="1">
        <v>165</v>
      </c>
      <c r="N107" s="1">
        <v>175242</v>
      </c>
      <c r="O107" s="1">
        <v>0.34139999999999998</v>
      </c>
      <c r="P107" s="1">
        <v>152.1019</v>
      </c>
      <c r="Q107" s="1">
        <v>1.58</v>
      </c>
      <c r="R107" s="1">
        <v>705.32</v>
      </c>
      <c r="S107" s="1">
        <v>8.5999999999999998E-4</v>
      </c>
    </row>
    <row r="108" spans="1:19" x14ac:dyDescent="0.2">
      <c r="A108" s="1">
        <v>500</v>
      </c>
      <c r="B108" s="1">
        <v>39</v>
      </c>
      <c r="C108" s="1">
        <v>41</v>
      </c>
      <c r="D108" s="1">
        <v>1200</v>
      </c>
      <c r="E108" s="1">
        <v>21</v>
      </c>
      <c r="F108" s="1">
        <v>32</v>
      </c>
      <c r="G108" s="1">
        <v>0.01</v>
      </c>
      <c r="H108" s="1">
        <v>96.58</v>
      </c>
      <c r="I108" s="1">
        <v>96.54</v>
      </c>
      <c r="J108" s="1">
        <v>96.56</v>
      </c>
      <c r="K108" s="1">
        <v>96.55</v>
      </c>
      <c r="L108" s="1">
        <v>0.10920000000000001</v>
      </c>
      <c r="M108" s="1">
        <v>150</v>
      </c>
      <c r="N108" s="1">
        <v>44618</v>
      </c>
      <c r="O108" s="1">
        <v>0.34139999999999998</v>
      </c>
      <c r="P108" s="1">
        <v>152.1019</v>
      </c>
      <c r="Q108" s="1">
        <v>3.13</v>
      </c>
      <c r="R108" s="1">
        <v>1392.62</v>
      </c>
      <c r="S108" s="1">
        <v>2.026E-2</v>
      </c>
    </row>
    <row r="109" spans="1:19" x14ac:dyDescent="0.2">
      <c r="A109" s="1">
        <v>500</v>
      </c>
      <c r="B109" s="1">
        <v>39</v>
      </c>
      <c r="C109" s="1">
        <v>41</v>
      </c>
      <c r="D109" s="1">
        <v>1200</v>
      </c>
      <c r="E109" s="1">
        <v>21</v>
      </c>
      <c r="F109" s="1">
        <v>32</v>
      </c>
      <c r="G109" s="1">
        <v>1E-3</v>
      </c>
      <c r="H109" s="1">
        <v>96.5</v>
      </c>
      <c r="I109" s="1">
        <v>96.48</v>
      </c>
      <c r="J109" s="1">
        <v>96.46</v>
      </c>
      <c r="K109" s="1">
        <v>96.47</v>
      </c>
      <c r="L109" s="1">
        <v>8.5400000000000004E-2</v>
      </c>
      <c r="M109" s="1">
        <v>173</v>
      </c>
      <c r="N109" s="1">
        <v>44618</v>
      </c>
      <c r="O109" s="1">
        <v>0.34139999999999998</v>
      </c>
      <c r="P109" s="1">
        <v>152.1019</v>
      </c>
      <c r="Q109" s="1">
        <v>4</v>
      </c>
      <c r="R109" s="1">
        <v>1781.47</v>
      </c>
      <c r="S109" s="1">
        <v>5.4599999999999996E-3</v>
      </c>
    </row>
    <row r="110" spans="1:19" x14ac:dyDescent="0.2">
      <c r="A110" s="1">
        <v>500</v>
      </c>
      <c r="B110" s="1">
        <v>39</v>
      </c>
      <c r="C110" s="1">
        <v>41</v>
      </c>
      <c r="D110" s="1">
        <v>1200</v>
      </c>
      <c r="E110" s="1">
        <v>11</v>
      </c>
      <c r="F110" s="1">
        <v>64</v>
      </c>
      <c r="G110" s="1">
        <v>1E-3</v>
      </c>
      <c r="H110" s="1">
        <v>93.82</v>
      </c>
      <c r="I110" s="1">
        <v>93.75</v>
      </c>
      <c r="J110" s="1">
        <v>93.74</v>
      </c>
      <c r="K110" s="1">
        <v>93.74</v>
      </c>
      <c r="L110" s="1">
        <v>0.15179999999999999</v>
      </c>
      <c r="M110" s="1">
        <v>125</v>
      </c>
      <c r="N110" s="1">
        <v>92682</v>
      </c>
      <c r="O110" s="1">
        <v>0.34139999999999998</v>
      </c>
      <c r="P110" s="1">
        <v>152.1019</v>
      </c>
      <c r="Q110" s="1">
        <v>2.25</v>
      </c>
      <c r="R110" s="1">
        <v>1002.25</v>
      </c>
      <c r="S110" s="1">
        <v>2.9E-4</v>
      </c>
    </row>
    <row r="111" spans="1:19" x14ac:dyDescent="0.2">
      <c r="A111" s="1">
        <v>500</v>
      </c>
      <c r="B111" s="1">
        <v>39</v>
      </c>
      <c r="C111" s="1">
        <v>41</v>
      </c>
      <c r="D111" s="1">
        <v>1200</v>
      </c>
      <c r="E111" s="1">
        <v>11</v>
      </c>
      <c r="F111" s="1">
        <v>64</v>
      </c>
      <c r="G111" s="1">
        <v>0.01</v>
      </c>
      <c r="H111" s="1">
        <v>93.78</v>
      </c>
      <c r="I111" s="1">
        <v>93.73</v>
      </c>
      <c r="J111" s="1">
        <v>93.72</v>
      </c>
      <c r="K111" s="1">
        <v>93.71</v>
      </c>
      <c r="L111" s="1">
        <v>0.15540000000000001</v>
      </c>
      <c r="M111" s="1">
        <v>182</v>
      </c>
      <c r="N111" s="1">
        <v>92682</v>
      </c>
      <c r="O111" s="1">
        <v>0.34139999999999998</v>
      </c>
      <c r="P111" s="1">
        <v>152.1019</v>
      </c>
      <c r="Q111" s="1">
        <v>2.2000000000000002</v>
      </c>
      <c r="R111" s="1">
        <v>978.71</v>
      </c>
      <c r="S111" s="1">
        <v>5.6999999999999998E-4</v>
      </c>
    </row>
    <row r="112" spans="1:19" x14ac:dyDescent="0.2">
      <c r="A112" s="1">
        <v>500</v>
      </c>
      <c r="B112" s="1">
        <v>39</v>
      </c>
      <c r="C112" s="1">
        <v>41</v>
      </c>
      <c r="D112" s="1">
        <v>1200</v>
      </c>
      <c r="E112" s="1">
        <v>11</v>
      </c>
      <c r="F112" s="1">
        <v>32</v>
      </c>
      <c r="G112" s="1">
        <v>0.01</v>
      </c>
      <c r="H112" s="1">
        <v>93.07</v>
      </c>
      <c r="I112" s="1">
        <v>93.01</v>
      </c>
      <c r="J112" s="1">
        <v>92.99</v>
      </c>
      <c r="K112" s="1">
        <v>92.98</v>
      </c>
      <c r="L112" s="1">
        <v>7.1400000000000005E-2</v>
      </c>
      <c r="M112" s="1">
        <v>154</v>
      </c>
      <c r="N112" s="1">
        <v>23818</v>
      </c>
      <c r="O112" s="1">
        <v>0.34139999999999998</v>
      </c>
      <c r="P112" s="1">
        <v>152.1019</v>
      </c>
      <c r="Q112" s="1">
        <v>4.78</v>
      </c>
      <c r="R112" s="1">
        <v>2128.79</v>
      </c>
      <c r="S112" s="1">
        <v>1.5399999999999999E-3</v>
      </c>
    </row>
    <row r="113" spans="1:19" x14ac:dyDescent="0.2">
      <c r="A113" s="1">
        <v>500</v>
      </c>
      <c r="B113" s="1">
        <v>39</v>
      </c>
      <c r="C113" s="1">
        <v>41</v>
      </c>
      <c r="D113" s="1">
        <v>1200</v>
      </c>
      <c r="E113" s="1">
        <v>11</v>
      </c>
      <c r="F113" s="1">
        <v>32</v>
      </c>
      <c r="G113" s="1">
        <v>1E-3</v>
      </c>
      <c r="H113" s="1">
        <v>92.43</v>
      </c>
      <c r="I113" s="1">
        <v>92.35</v>
      </c>
      <c r="J113" s="1">
        <v>92.34</v>
      </c>
      <c r="K113" s="1">
        <v>92.33</v>
      </c>
      <c r="L113" s="1">
        <v>7.17E-2</v>
      </c>
      <c r="M113" s="1">
        <v>163</v>
      </c>
      <c r="N113" s="1">
        <v>23818</v>
      </c>
      <c r="O113" s="1">
        <v>0.34139999999999998</v>
      </c>
      <c r="P113" s="1">
        <v>152.1019</v>
      </c>
      <c r="Q113" s="1">
        <v>4.76</v>
      </c>
      <c r="R113" s="1">
        <v>2121.36</v>
      </c>
      <c r="S113" s="1">
        <v>2E-3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F973-B586-2549-A71B-D1B385D8436F}">
  <dimension ref="B2:L39"/>
  <sheetViews>
    <sheetView topLeftCell="A5" workbookViewId="0">
      <selection activeCell="K19" sqref="K19"/>
    </sheetView>
  </sheetViews>
  <sheetFormatPr baseColWidth="10" defaultRowHeight="15" x14ac:dyDescent="0.2"/>
  <cols>
    <col min="3" max="6" width="17.1640625" bestFit="1" customWidth="1"/>
  </cols>
  <sheetData>
    <row r="2" spans="2:12" x14ac:dyDescent="0.2">
      <c r="B2" t="s">
        <v>27</v>
      </c>
      <c r="C2">
        <v>50</v>
      </c>
      <c r="D2">
        <v>100</v>
      </c>
      <c r="E2">
        <v>200</v>
      </c>
      <c r="F2">
        <v>500</v>
      </c>
      <c r="H2" t="s">
        <v>26</v>
      </c>
      <c r="I2">
        <v>50</v>
      </c>
      <c r="J2">
        <v>100</v>
      </c>
      <c r="K2">
        <v>200</v>
      </c>
      <c r="L2">
        <v>500</v>
      </c>
    </row>
    <row r="3" spans="2:12" x14ac:dyDescent="0.2">
      <c r="B3" t="s">
        <v>19</v>
      </c>
      <c r="C3" s="7">
        <f>ROUND(Sheet1!W3,2)</f>
        <v>82.69</v>
      </c>
      <c r="D3" s="7">
        <f>ROUND(Sheet1!X3,2)</f>
        <v>92.6</v>
      </c>
      <c r="E3" s="7">
        <f>ROUND(Sheet1!Y3,2)</f>
        <v>94.8</v>
      </c>
      <c r="F3" s="7">
        <f>ROUND(Sheet1!Z3,2)</f>
        <v>97.11</v>
      </c>
      <c r="G3" s="7"/>
      <c r="H3" t="s">
        <v>19</v>
      </c>
      <c r="I3" s="7">
        <f>ROUND(Sheet1!AC3,2)</f>
        <v>0.77</v>
      </c>
      <c r="J3" s="7">
        <f>ROUND(Sheet1!AD3,2)</f>
        <v>1.56</v>
      </c>
      <c r="K3" s="7">
        <f>ROUND(Sheet1!AE3,2)</f>
        <v>1.9</v>
      </c>
      <c r="L3" s="7">
        <f>ROUND(Sheet1!AF3,2)</f>
        <v>1.72</v>
      </c>
    </row>
    <row r="4" spans="2:12" x14ac:dyDescent="0.2">
      <c r="B4" t="s">
        <v>20</v>
      </c>
      <c r="C4" s="7">
        <f>ROUND(Sheet1!W4,2)</f>
        <v>82.55</v>
      </c>
      <c r="D4" s="7">
        <f>ROUND(Sheet1!X4,2)</f>
        <v>92.55</v>
      </c>
      <c r="E4" s="7">
        <f>ROUND(Sheet1!Y4,2)</f>
        <v>94.76</v>
      </c>
      <c r="F4" s="7">
        <f>ROUND(Sheet1!Z4,2)</f>
        <v>97.09</v>
      </c>
      <c r="G4" s="7"/>
      <c r="H4" t="s">
        <v>20</v>
      </c>
      <c r="I4" s="7">
        <f>ROUND(Sheet1!AC4,2)</f>
        <v>0.76</v>
      </c>
      <c r="J4" s="7">
        <f>ROUND(Sheet1!AD4,2)</f>
        <v>1.58</v>
      </c>
      <c r="K4" s="7">
        <f>ROUND(Sheet1!AE4,2)</f>
        <v>1.89</v>
      </c>
      <c r="L4" s="7">
        <f>ROUND(Sheet1!AF4,2)</f>
        <v>1.73</v>
      </c>
    </row>
    <row r="5" spans="2:12" x14ac:dyDescent="0.2">
      <c r="B5" t="s">
        <v>21</v>
      </c>
      <c r="C5" s="7">
        <f>ROUND(Sheet1!W5,2)</f>
        <v>82.47</v>
      </c>
      <c r="D5" s="7">
        <f>ROUND(Sheet1!X5,2)</f>
        <v>92.51</v>
      </c>
      <c r="E5" s="7">
        <f>ROUND(Sheet1!Y5,2)</f>
        <v>94.77</v>
      </c>
      <c r="F5" s="7">
        <f>ROUND(Sheet1!Z5,2)</f>
        <v>97.08</v>
      </c>
      <c r="G5" s="7"/>
      <c r="H5" t="s">
        <v>21</v>
      </c>
      <c r="I5" s="7">
        <f>ROUND(Sheet1!AC5,2)</f>
        <v>0.79</v>
      </c>
      <c r="J5" s="7">
        <f>ROUND(Sheet1!AD5,2)</f>
        <v>1.59</v>
      </c>
      <c r="K5" s="7">
        <f>ROUND(Sheet1!AE5,2)</f>
        <v>1.91</v>
      </c>
      <c r="L5" s="7">
        <f>ROUND(Sheet1!AF5,2)</f>
        <v>1.74</v>
      </c>
    </row>
    <row r="6" spans="2:12" x14ac:dyDescent="0.2">
      <c r="B6" t="s">
        <v>22</v>
      </c>
      <c r="C6" s="7">
        <f>ROUND(Sheet1!W6,2)</f>
        <v>82.47</v>
      </c>
      <c r="D6" s="7">
        <f>ROUND(Sheet1!X6,2)</f>
        <v>92.52</v>
      </c>
      <c r="E6" s="7">
        <f>ROUND(Sheet1!Y6,2)</f>
        <v>94.75</v>
      </c>
      <c r="F6" s="7">
        <f>ROUND(Sheet1!Z6,2)</f>
        <v>97.08</v>
      </c>
      <c r="G6" s="7"/>
      <c r="H6" t="s">
        <v>22</v>
      </c>
      <c r="I6" s="7">
        <f>ROUND(Sheet1!AC6,2)</f>
        <v>0.78</v>
      </c>
      <c r="J6" s="7">
        <f>ROUND(Sheet1!AD6,2)</f>
        <v>1.59</v>
      </c>
      <c r="K6" s="7">
        <f>ROUND(Sheet1!AE6,2)</f>
        <v>1.91</v>
      </c>
      <c r="L6" s="7">
        <f>ROUND(Sheet1!AF6,2)</f>
        <v>1.74</v>
      </c>
    </row>
    <row r="7" spans="2:12" x14ac:dyDescent="0.2">
      <c r="B7" t="s">
        <v>23</v>
      </c>
      <c r="C7" s="6">
        <f>ROUND(Sheet1!W7,3)</f>
        <v>9.2999999999999999E-2</v>
      </c>
      <c r="D7" s="6">
        <f>ROUND(Sheet1!X7,3)</f>
        <v>0.105</v>
      </c>
      <c r="E7" s="6">
        <f>ROUND(Sheet1!Y7,3)</f>
        <v>0.152</v>
      </c>
      <c r="F7" s="6">
        <f>ROUND(Sheet1!Z7,3)</f>
        <v>0.311</v>
      </c>
      <c r="G7" s="7"/>
      <c r="H7" t="s">
        <v>23</v>
      </c>
      <c r="I7" s="7">
        <f>ROUND(Sheet1!AC7,2)</f>
        <v>0.03</v>
      </c>
      <c r="J7" s="7">
        <f>ROUND(Sheet1!AD7,2)</f>
        <v>0.04</v>
      </c>
      <c r="K7" s="7">
        <f>ROUND(Sheet1!AE7,2)</f>
        <v>0.08</v>
      </c>
      <c r="L7" s="7">
        <f>ROUND(Sheet1!AF7,2)</f>
        <v>0.19</v>
      </c>
    </row>
    <row r="8" spans="2:12" x14ac:dyDescent="0.2">
      <c r="C8" s="7"/>
      <c r="D8" s="7"/>
      <c r="E8" s="7"/>
      <c r="F8" s="7"/>
      <c r="G8" s="7"/>
      <c r="H8" s="7"/>
      <c r="I8" s="7"/>
      <c r="J8" s="7"/>
      <c r="K8" s="7"/>
      <c r="L8" s="7"/>
    </row>
    <row r="9" spans="2:12" x14ac:dyDescent="0.2">
      <c r="B9" t="s">
        <v>24</v>
      </c>
      <c r="C9">
        <v>50</v>
      </c>
      <c r="D9">
        <v>100</v>
      </c>
      <c r="E9">
        <v>200</v>
      </c>
      <c r="F9">
        <v>500</v>
      </c>
      <c r="G9" s="7"/>
      <c r="H9" s="7"/>
      <c r="I9" s="7"/>
      <c r="J9" s="7"/>
      <c r="K9" s="7"/>
      <c r="L9" s="7"/>
    </row>
    <row r="10" spans="2:12" x14ac:dyDescent="0.2">
      <c r="B10" t="s">
        <v>19</v>
      </c>
      <c r="C10" s="7">
        <f>ROUND(Sheet1!W10,2)</f>
        <v>80.319999999999993</v>
      </c>
      <c r="D10" s="7">
        <f>ROUND(Sheet1!X10,2)</f>
        <v>88.78</v>
      </c>
      <c r="E10" s="7">
        <f>ROUND(Sheet1!Y10,2)</f>
        <v>89.93</v>
      </c>
      <c r="F10" s="7">
        <f>ROUND(Sheet1!Z10,2)</f>
        <v>92.43</v>
      </c>
      <c r="G10" s="7"/>
      <c r="H10" s="7"/>
      <c r="I10" s="7"/>
      <c r="J10" s="7"/>
      <c r="K10" s="7"/>
      <c r="L10" s="7"/>
    </row>
    <row r="11" spans="2:12" x14ac:dyDescent="0.2">
      <c r="B11" t="s">
        <v>20</v>
      </c>
      <c r="C11" s="7">
        <f>ROUND(Sheet1!W11,2)</f>
        <v>80.150000000000006</v>
      </c>
      <c r="D11" s="7">
        <f>ROUND(Sheet1!X11,2)</f>
        <v>88.67</v>
      </c>
      <c r="E11" s="7">
        <f>ROUND(Sheet1!Y11,2)</f>
        <v>89.93</v>
      </c>
      <c r="F11" s="7">
        <f>ROUND(Sheet1!Z11,2)</f>
        <v>92.35</v>
      </c>
      <c r="G11" s="7"/>
      <c r="H11" s="7"/>
      <c r="I11" s="7"/>
      <c r="J11" s="7"/>
      <c r="K11" s="7"/>
      <c r="L11" s="7"/>
    </row>
    <row r="12" spans="2:12" x14ac:dyDescent="0.2">
      <c r="B12" t="s">
        <v>21</v>
      </c>
      <c r="C12" s="7">
        <f>ROUND(Sheet1!W12,2)</f>
        <v>80.05</v>
      </c>
      <c r="D12" s="7">
        <f>ROUND(Sheet1!X12,2)</f>
        <v>88.61</v>
      </c>
      <c r="E12" s="7">
        <f>ROUND(Sheet1!Y12,2)</f>
        <v>89.87</v>
      </c>
      <c r="F12" s="7">
        <f>ROUND(Sheet1!Z12,2)</f>
        <v>92.34</v>
      </c>
      <c r="G12" s="7"/>
      <c r="H12" s="7"/>
      <c r="I12" s="7"/>
      <c r="J12" s="7"/>
      <c r="K12" s="7"/>
      <c r="L12" s="7"/>
    </row>
    <row r="13" spans="2:12" x14ac:dyDescent="0.2">
      <c r="B13" t="s">
        <v>22</v>
      </c>
      <c r="C13" s="7">
        <f>ROUND(Sheet1!W13,2)</f>
        <v>80.05</v>
      </c>
      <c r="D13" s="7">
        <f>ROUND(Sheet1!X13,2)</f>
        <v>88.62</v>
      </c>
      <c r="E13" s="7">
        <f>ROUND(Sheet1!Y13,2)</f>
        <v>89.88</v>
      </c>
      <c r="F13" s="7">
        <f>ROUND(Sheet1!Z13,2)</f>
        <v>92.33</v>
      </c>
      <c r="G13" s="7"/>
      <c r="H13" s="7"/>
      <c r="I13" s="7"/>
      <c r="J13" s="7"/>
      <c r="K13" s="7"/>
      <c r="L13" s="7"/>
    </row>
    <row r="14" spans="2:12" x14ac:dyDescent="0.2">
      <c r="B14" t="s">
        <v>23</v>
      </c>
      <c r="C14" s="6">
        <f>ROUND(Sheet1!W14,3)</f>
        <v>6.5000000000000002E-2</v>
      </c>
      <c r="D14" s="6">
        <f>ROUND(Sheet1!X14,3)</f>
        <v>6.7000000000000004E-2</v>
      </c>
      <c r="E14" s="6">
        <f>ROUND(Sheet1!Y14,3)</f>
        <v>6.9000000000000006E-2</v>
      </c>
      <c r="F14" s="6">
        <f>ROUND(Sheet1!Z14,3)</f>
        <v>7.0999999999999994E-2</v>
      </c>
      <c r="G14" s="7"/>
      <c r="H14" s="7"/>
      <c r="I14" s="7"/>
      <c r="J14" s="7"/>
      <c r="K14" s="7"/>
      <c r="L14" s="7"/>
    </row>
    <row r="15" spans="2:12" x14ac:dyDescent="0.2"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2:12" x14ac:dyDescent="0.2">
      <c r="B16" t="s">
        <v>25</v>
      </c>
      <c r="C16">
        <v>50</v>
      </c>
      <c r="D16">
        <v>100</v>
      </c>
      <c r="E16">
        <v>200</v>
      </c>
      <c r="F16">
        <v>500</v>
      </c>
      <c r="G16" s="7"/>
      <c r="H16" s="7"/>
      <c r="I16" s="7"/>
      <c r="J16" s="7"/>
      <c r="K16" s="7"/>
      <c r="L16" s="7"/>
    </row>
    <row r="17" spans="2:12" x14ac:dyDescent="0.2">
      <c r="B17" t="s">
        <v>19</v>
      </c>
      <c r="C17" s="7">
        <f>ROUND(Sheet1!W17,2)</f>
        <v>83.46</v>
      </c>
      <c r="D17" s="7">
        <f>ROUND(Sheet1!X17,2)</f>
        <v>93.8</v>
      </c>
      <c r="E17" s="7">
        <f>ROUND(Sheet1!Y17,2)</f>
        <v>96.17</v>
      </c>
      <c r="F17" s="7">
        <f>ROUND(Sheet1!Z17,2)</f>
        <v>98.6</v>
      </c>
      <c r="G17" s="7"/>
      <c r="H17" s="7"/>
      <c r="I17" s="7"/>
      <c r="J17" s="7"/>
      <c r="K17" s="7"/>
      <c r="L17" s="7"/>
    </row>
    <row r="18" spans="2:12" x14ac:dyDescent="0.2">
      <c r="B18" t="s">
        <v>20</v>
      </c>
      <c r="C18" s="7">
        <f>ROUND(Sheet1!W18,2)</f>
        <v>83.29</v>
      </c>
      <c r="D18" s="7">
        <f>ROUND(Sheet1!X18,2)</f>
        <v>93.79</v>
      </c>
      <c r="E18" s="7">
        <f>ROUND(Sheet1!Y18,2)</f>
        <v>96.12</v>
      </c>
      <c r="F18" s="7">
        <f>ROUND(Sheet1!Z18,2)</f>
        <v>98.58</v>
      </c>
      <c r="G18" s="7"/>
      <c r="H18" s="7"/>
      <c r="I18" s="7"/>
      <c r="J18" s="7"/>
      <c r="K18" s="7"/>
      <c r="L18" s="7"/>
    </row>
    <row r="19" spans="2:12" x14ac:dyDescent="0.2">
      <c r="B19" t="s">
        <v>21</v>
      </c>
      <c r="C19" s="7">
        <f>ROUND(Sheet1!W19,2)</f>
        <v>83.27</v>
      </c>
      <c r="D19" s="7">
        <f>ROUND(Sheet1!X19,2)</f>
        <v>93.73</v>
      </c>
      <c r="E19" s="7">
        <f>ROUND(Sheet1!Y19,2)</f>
        <v>96.15</v>
      </c>
      <c r="F19" s="7">
        <f>ROUND(Sheet1!Z19,2)</f>
        <v>98.59</v>
      </c>
      <c r="G19" s="7"/>
      <c r="H19" s="7"/>
      <c r="I19" s="7"/>
      <c r="J19" s="7"/>
      <c r="K19" s="7"/>
      <c r="L19" s="7"/>
    </row>
    <row r="20" spans="2:12" x14ac:dyDescent="0.2">
      <c r="B20" t="s">
        <v>22</v>
      </c>
      <c r="C20" s="7">
        <f>ROUND(Sheet1!W20,2)</f>
        <v>83.24</v>
      </c>
      <c r="D20" s="7">
        <f>ROUND(Sheet1!X20,2)</f>
        <v>93.75</v>
      </c>
      <c r="E20" s="7">
        <f>ROUND(Sheet1!Y20,2)</f>
        <v>96.13</v>
      </c>
      <c r="F20" s="7">
        <f>ROUND(Sheet1!Z20,2)</f>
        <v>98.59</v>
      </c>
      <c r="G20" s="7"/>
      <c r="H20" s="7"/>
      <c r="I20" s="7"/>
      <c r="J20" s="7"/>
      <c r="K20" s="7"/>
      <c r="L20" s="7"/>
    </row>
    <row r="21" spans="2:12" x14ac:dyDescent="0.2">
      <c r="B21" t="s">
        <v>23</v>
      </c>
      <c r="C21" s="6">
        <f>ROUND(Sheet1!W21,3)</f>
        <v>0.14599999999999999</v>
      </c>
      <c r="D21" s="6">
        <f>ROUND(Sheet1!X21,3)</f>
        <v>0.18099999999999999</v>
      </c>
      <c r="E21" s="6">
        <f>ROUND(Sheet1!Y21,3)</f>
        <v>0.307</v>
      </c>
      <c r="F21" s="6">
        <f>ROUND(Sheet1!Z21,3)</f>
        <v>0.69599999999999995</v>
      </c>
      <c r="G21" s="7"/>
      <c r="H21" s="7"/>
      <c r="I21" s="7"/>
      <c r="J21" s="7"/>
      <c r="K21" s="7"/>
      <c r="L21" s="7"/>
    </row>
    <row r="24" spans="2:12" x14ac:dyDescent="0.2">
      <c r="C24" t="str">
        <f>_xlfn.CONCAT(C3," ($\pm$ ",I3,")")</f>
        <v>82.69 ($\pm$ 0.77)</v>
      </c>
      <c r="D24" t="str">
        <f t="shared" ref="D24:F24" si="0">_xlfn.CONCAT(D3," ($\pm$ ",J3,")")</f>
        <v>92.6 ($\pm$ 1.56)</v>
      </c>
      <c r="E24" t="str">
        <f t="shared" si="0"/>
        <v>94.8 ($\pm$ 1.9)</v>
      </c>
      <c r="F24" t="str">
        <f t="shared" si="0"/>
        <v>97.11 ($\pm$ 1.72)</v>
      </c>
    </row>
    <row r="25" spans="2:12" x14ac:dyDescent="0.2">
      <c r="C25" t="s">
        <v>28</v>
      </c>
      <c r="D25" t="s">
        <v>29</v>
      </c>
      <c r="E25" t="s">
        <v>30</v>
      </c>
      <c r="F25" t="s">
        <v>31</v>
      </c>
    </row>
    <row r="26" spans="2:12" x14ac:dyDescent="0.2">
      <c r="C26" t="str">
        <f t="shared" ref="C26" si="1">_xlfn.CONCAT(C4," ($\pm$ ",I4,")")</f>
        <v>82.55 ($\pm$ 0.76)</v>
      </c>
      <c r="D26" t="str">
        <f t="shared" ref="D26" si="2">_xlfn.CONCAT(D4," ($\pm$ ",J4,")")</f>
        <v>92.55 ($\pm$ 1.58)</v>
      </c>
      <c r="E26" t="str">
        <f t="shared" ref="E26" si="3">_xlfn.CONCAT(E4," ($\pm$ ",K4,")")</f>
        <v>94.76 ($\pm$ 1.89)</v>
      </c>
      <c r="F26" t="str">
        <f t="shared" ref="F26" si="4">_xlfn.CONCAT(F4," ($\pm$ ",L4,")")</f>
        <v>97.09 ($\pm$ 1.73)</v>
      </c>
    </row>
    <row r="27" spans="2:12" x14ac:dyDescent="0.2">
      <c r="C27" t="s">
        <v>32</v>
      </c>
      <c r="D27" t="s">
        <v>33</v>
      </c>
      <c r="E27" t="s">
        <v>34</v>
      </c>
      <c r="F27" t="s">
        <v>35</v>
      </c>
    </row>
    <row r="28" spans="2:12" x14ac:dyDescent="0.2">
      <c r="C28" t="str">
        <f>_xlfn.CONCAT(C5," ($\pm$ ",I5,")")</f>
        <v>82.47 ($\pm$ 0.79)</v>
      </c>
      <c r="D28" t="str">
        <f>_xlfn.CONCAT(D5," ($\pm$ ",J5,")")</f>
        <v>92.51 ($\pm$ 1.59)</v>
      </c>
      <c r="E28" t="str">
        <f>_xlfn.CONCAT(E5," ($\pm$ ",K5,")")</f>
        <v>94.77 ($\pm$ 1.91)</v>
      </c>
      <c r="F28" t="str">
        <f>_xlfn.CONCAT(F5," ($\pm$ ",L5,")")</f>
        <v>97.08 ($\pm$ 1.74)</v>
      </c>
    </row>
    <row r="29" spans="2:12" x14ac:dyDescent="0.2">
      <c r="C29" t="s">
        <v>36</v>
      </c>
      <c r="D29" t="s">
        <v>37</v>
      </c>
      <c r="E29" t="s">
        <v>38</v>
      </c>
      <c r="F29" t="s">
        <v>39</v>
      </c>
    </row>
    <row r="30" spans="2:12" x14ac:dyDescent="0.2">
      <c r="C30" t="str">
        <f>_xlfn.CONCAT(C6," ($\pm$ ",I6,")")</f>
        <v>82.47 ($\pm$ 0.78)</v>
      </c>
      <c r="D30" t="str">
        <f>_xlfn.CONCAT(D6," ($\pm$ ",J6,")")</f>
        <v>92.52 ($\pm$ 1.59)</v>
      </c>
      <c r="E30" t="str">
        <f>_xlfn.CONCAT(E6," ($\pm$ ",K6,")")</f>
        <v>94.75 ($\pm$ 1.91)</v>
      </c>
      <c r="F30" t="str">
        <f>_xlfn.CONCAT(F6," ($\pm$ ",L6,")")</f>
        <v>97.08 ($\pm$ 1.74)</v>
      </c>
    </row>
    <row r="31" spans="2:12" x14ac:dyDescent="0.2">
      <c r="C31" t="s">
        <v>40</v>
      </c>
      <c r="D31" t="s">
        <v>41</v>
      </c>
      <c r="E31" t="s">
        <v>42</v>
      </c>
      <c r="F31" t="s">
        <v>43</v>
      </c>
    </row>
    <row r="32" spans="2:12" x14ac:dyDescent="0.2">
      <c r="C32" t="str">
        <f>_xlfn.CONCAT(C7," ($\pm$ ",I7,")")</f>
        <v>0.093 ($\pm$ 0.03)</v>
      </c>
      <c r="D32" t="str">
        <f>_xlfn.CONCAT(D7," ($\pm$ ",J7,")")</f>
        <v>0.105 ($\pm$ 0.04)</v>
      </c>
      <c r="E32" t="str">
        <f>_xlfn.CONCAT(E7," ($\pm$ ",K7,")")</f>
        <v>0.152 ($\pm$ 0.08)</v>
      </c>
      <c r="F32" t="str">
        <f>_xlfn.CONCAT(F7," ($\pm$ ",L7,")")</f>
        <v>0.311 ($\pm$ 0.19)</v>
      </c>
    </row>
    <row r="33" spans="3:6" x14ac:dyDescent="0.2">
      <c r="C33" t="s">
        <v>44</v>
      </c>
      <c r="D33" t="s">
        <v>45</v>
      </c>
      <c r="E33" t="s">
        <v>46</v>
      </c>
      <c r="F33" t="s">
        <v>47</v>
      </c>
    </row>
    <row r="35" spans="3:6" x14ac:dyDescent="0.2">
      <c r="C35" t="str">
        <f>_xlfn.CONCAT(C10," - ",C17)</f>
        <v>80.32 - 83.46</v>
      </c>
      <c r="D35" t="str">
        <f t="shared" ref="D35:F35" si="5">_xlfn.CONCAT(D10," - ",D17)</f>
        <v>88.78 - 93.8</v>
      </c>
      <c r="E35" t="str">
        <f t="shared" si="5"/>
        <v>89.93 - 96.17</v>
      </c>
      <c r="F35" t="str">
        <f t="shared" si="5"/>
        <v>92.43 - 98.6</v>
      </c>
    </row>
    <row r="36" spans="3:6" x14ac:dyDescent="0.2">
      <c r="C36" t="str">
        <f t="shared" ref="C36:F36" si="6">_xlfn.CONCAT(C11," - ",C18)</f>
        <v>80.15 - 83.29</v>
      </c>
      <c r="D36" t="str">
        <f t="shared" si="6"/>
        <v>88.67 - 93.79</v>
      </c>
      <c r="E36" t="str">
        <f t="shared" si="6"/>
        <v>89.93 - 96.12</v>
      </c>
      <c r="F36" t="str">
        <f t="shared" si="6"/>
        <v>92.35 - 98.58</v>
      </c>
    </row>
    <row r="37" spans="3:6" x14ac:dyDescent="0.2">
      <c r="C37" t="str">
        <f t="shared" ref="C37:F37" si="7">_xlfn.CONCAT(C12," - ",C19)</f>
        <v>80.05 - 83.27</v>
      </c>
      <c r="D37" t="str">
        <f t="shared" si="7"/>
        <v>88.61 - 93.73</v>
      </c>
      <c r="E37" t="str">
        <f t="shared" si="7"/>
        <v>89.87 - 96.15</v>
      </c>
      <c r="F37" t="str">
        <f t="shared" si="7"/>
        <v>92.34 - 98.59</v>
      </c>
    </row>
    <row r="38" spans="3:6" x14ac:dyDescent="0.2">
      <c r="C38" t="str">
        <f t="shared" ref="C38:F38" si="8">_xlfn.CONCAT(C13," - ",C20)</f>
        <v>80.05 - 83.24</v>
      </c>
      <c r="D38" t="str">
        <f t="shared" si="8"/>
        <v>88.62 - 93.75</v>
      </c>
      <c r="E38" t="str">
        <f t="shared" si="8"/>
        <v>89.88 - 96.13</v>
      </c>
      <c r="F38" t="str">
        <f t="shared" si="8"/>
        <v>92.33 - 98.59</v>
      </c>
    </row>
    <row r="39" spans="3:6" x14ac:dyDescent="0.2">
      <c r="C39" t="str">
        <f t="shared" ref="C39:F39" si="9">_xlfn.CONCAT(C14," - ",C21)</f>
        <v>0.065 - 0.146</v>
      </c>
      <c r="D39" t="str">
        <f t="shared" si="9"/>
        <v>0.067 - 0.181</v>
      </c>
      <c r="E39" t="str">
        <f t="shared" si="9"/>
        <v>0.069 - 0.307</v>
      </c>
      <c r="F39" t="str">
        <f t="shared" si="9"/>
        <v>0.071 - 0.696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Sweep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Yazan Rabaiah</dc:creator>
  <cp:lastModifiedBy>Michael Gardner</cp:lastModifiedBy>
  <dcterms:created xsi:type="dcterms:W3CDTF">2026-06-17T14:12:22Z</dcterms:created>
  <dcterms:modified xsi:type="dcterms:W3CDTF">2026-06-25T13:26:01Z</dcterms:modified>
</cp:coreProperties>
</file>